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416"/>
  <workbookPr showInkAnnotation="0" autoCompressPictures="0"/>
  <bookViews>
    <workbookView xWindow="0" yWindow="0" windowWidth="25600" windowHeight="19020" tabRatio="500"/>
  </bookViews>
  <sheets>
    <sheet name="Hoja1" sheetId="1" r:id="rId1"/>
  </sheets>
  <definedNames>
    <definedName name="_xlnm._FilterDatabase" localSheetId="0" hidden="1">Hoja1!$A$1:$H$206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" i="1"/>
</calcChain>
</file>

<file path=xl/sharedStrings.xml><?xml version="1.0" encoding="utf-8"?>
<sst xmlns="http://schemas.openxmlformats.org/spreadsheetml/2006/main" count="417" uniqueCount="72">
  <si>
    <t>FID us250s4g</t>
  </si>
  <si>
    <t>Fracc</t>
  </si>
  <si>
    <t>GRIDCODE</t>
  </si>
  <si>
    <t>USs4ginCELL (m2)</t>
  </si>
  <si>
    <t>USs4ginMUNICIPIO (m2)</t>
  </si>
  <si>
    <t>CVE EDO</t>
  </si>
  <si>
    <t>12</t>
  </si>
  <si>
    <t>20</t>
  </si>
  <si>
    <t>27</t>
  </si>
  <si>
    <t>07</t>
  </si>
  <si>
    <t>30</t>
  </si>
  <si>
    <t>04</t>
  </si>
  <si>
    <t>21</t>
  </si>
  <si>
    <t>15</t>
  </si>
  <si>
    <t>09</t>
  </si>
  <si>
    <t>29</t>
  </si>
  <si>
    <t>16</t>
  </si>
  <si>
    <t>13</t>
  </si>
  <si>
    <t>14</t>
  </si>
  <si>
    <t>23</t>
  </si>
  <si>
    <t>22</t>
  </si>
  <si>
    <t>11</t>
  </si>
  <si>
    <t>24</t>
  </si>
  <si>
    <t>10</t>
  </si>
  <si>
    <t>CVE MUN</t>
  </si>
  <si>
    <t>010</t>
  </si>
  <si>
    <t>072</t>
  </si>
  <si>
    <t>190</t>
  </si>
  <si>
    <t>498</t>
  </si>
  <si>
    <t>205</t>
  </si>
  <si>
    <t>008</t>
  </si>
  <si>
    <t>065</t>
  </si>
  <si>
    <t>001</t>
  </si>
  <si>
    <t>204</t>
  </si>
  <si>
    <t>003</t>
  </si>
  <si>
    <t>114</t>
  </si>
  <si>
    <t>015</t>
  </si>
  <si>
    <t>118</t>
  </si>
  <si>
    <t>013</t>
  </si>
  <si>
    <t>011</t>
  </si>
  <si>
    <t>025</t>
  </si>
  <si>
    <t>004</t>
  </si>
  <si>
    <t>007</t>
  </si>
  <si>
    <t>039</t>
  </si>
  <si>
    <t>070</t>
  </si>
  <si>
    <t>112</t>
  </si>
  <si>
    <t>111</t>
  </si>
  <si>
    <t>057</t>
  </si>
  <si>
    <t>016</t>
  </si>
  <si>
    <t>005</t>
  </si>
  <si>
    <t>058</t>
  </si>
  <si>
    <t>029</t>
  </si>
  <si>
    <t>099</t>
  </si>
  <si>
    <t>066</t>
  </si>
  <si>
    <t>002</t>
  </si>
  <si>
    <t>104</t>
  </si>
  <si>
    <t>100</t>
  </si>
  <si>
    <t>053</t>
  </si>
  <si>
    <t>060</t>
  </si>
  <si>
    <t>121</t>
  </si>
  <si>
    <t>093</t>
  </si>
  <si>
    <t>128</t>
  </si>
  <si>
    <t>022</t>
  </si>
  <si>
    <t>041</t>
  </si>
  <si>
    <t>075</t>
  </si>
  <si>
    <t>006</t>
  </si>
  <si>
    <t>103</t>
  </si>
  <si>
    <t>077</t>
  </si>
  <si>
    <t>183</t>
  </si>
  <si>
    <t>018</t>
  </si>
  <si>
    <t>198</t>
  </si>
  <si>
    <t>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</si>
</sst>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FF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1" fontId="1" fillId="0" borderId="0" xfId="0" applyNumberFormat="1" applyFont="1" applyAlignment="1">
      <alignment horizontal="center"/>
    </xf>
    <xf numFmtId="4" fontId="0" fillId="2" borderId="0" xfId="0" applyNumberFormat="1" applyFill="1"/>
    <xf numFmtId="4" fontId="0" fillId="3" borderId="0" xfId="0" applyNumberFormat="1" applyFill="1"/>
    <xf numFmtId="1" fontId="2" fillId="0" borderId="0" xfId="0" applyNumberFormat="1" applyFont="1" applyAlignment="1">
      <alignment horizontal="center" vertical="center" wrapText="1"/>
    </xf>
    <xf numFmtId="1" fontId="0" fillId="0" borderId="0" xfId="0" applyNumberFormat="1"/>
    <xf numFmtId="1" fontId="2" fillId="0" borderId="0" xfId="0" applyNumberFormat="1" applyFont="1" applyAlignment="1">
      <alignment horizontal="center" vertical="center"/>
    </xf>
    <xf numFmtId="4" fontId="2" fillId="2" borderId="0" xfId="0" applyNumberFormat="1" applyFont="1" applyFill="1" applyAlignment="1">
      <alignment horizontal="center" vertical="center" wrapText="1"/>
    </xf>
    <xf numFmtId="4" fontId="2" fillId="3" borderId="0" xfId="0" applyNumberFormat="1" applyFont="1" applyFill="1" applyAlignment="1">
      <alignment horizontal="center" vertical="center" wrapText="1"/>
    </xf>
    <xf numFmtId="1" fontId="0" fillId="0" borderId="0" xfId="0" applyNumberFormat="1" applyAlignment="1">
      <alignment horizontal="center"/>
    </xf>
  </cellXfs>
  <cellStyles count="3">
    <cellStyle name="Hipervínculo" xfId="1" builtinId="8" hidden="1"/>
    <cellStyle name="Hipervínculo visitado" xfId="2" builtinId="9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/>
  <dimension ref="A1:H206"/>
  <sheetViews>
    <sheetView tabSelected="1" workbookViewId="0">
      <selection activeCell="D179" sqref="D179:D184"/>
    </sheetView>
  </sheetViews>
  <sheetFormatPr baseColWidth="10" defaultRowHeight="15" x14ac:dyDescent="0"/>
  <sheetData>
    <row r="1" spans="1:8" ht="39">
      <c r="A1" s="6" t="s">
        <v>2</v>
      </c>
      <c r="B1" s="7" t="s">
        <v>3</v>
      </c>
      <c r="C1" s="8" t="s">
        <v>4</v>
      </c>
      <c r="D1" t="s">
        <v>1</v>
      </c>
      <c r="E1" s="4" t="s">
        <v>0</v>
      </c>
      <c r="F1" s="4" t="s">
        <v>5</v>
      </c>
      <c r="G1" s="4" t="s">
        <v>24</v>
      </c>
      <c r="H1" s="5" t="str">
        <f>F1&amp;G1</f>
        <v>CVE EDOCVE MUN</v>
      </c>
    </row>
    <row r="2" spans="1:8" hidden="1">
      <c r="A2" s="1">
        <v>11157</v>
      </c>
      <c r="B2" s="2">
        <v>25077.980601200001</v>
      </c>
      <c r="C2" s="3">
        <v>25077.980601200001</v>
      </c>
      <c r="D2">
        <f>B2/C2</f>
        <v>1</v>
      </c>
      <c r="E2" s="5">
        <v>50628</v>
      </c>
      <c r="F2" s="9" t="s">
        <v>6</v>
      </c>
      <c r="G2" s="9" t="s">
        <v>25</v>
      </c>
      <c r="H2" s="5" t="str">
        <f>F2&amp;G2</f>
        <v>12010</v>
      </c>
    </row>
    <row r="3" spans="1:8" hidden="1">
      <c r="A3" s="1">
        <v>11157</v>
      </c>
      <c r="B3" s="2">
        <v>977050.99804199999</v>
      </c>
      <c r="C3" s="3">
        <v>977050.99804199999</v>
      </c>
      <c r="D3">
        <f t="shared" ref="D3:D66" si="0">B3/C3</f>
        <v>1</v>
      </c>
      <c r="E3" s="5">
        <v>50628</v>
      </c>
      <c r="F3" s="9" t="s">
        <v>6</v>
      </c>
      <c r="G3" s="9" t="s">
        <v>26</v>
      </c>
      <c r="H3" s="5" t="str">
        <f t="shared" ref="H3:H66" si="1">F3&amp;G3</f>
        <v>12072</v>
      </c>
    </row>
    <row r="4" spans="1:8" hidden="1">
      <c r="A4" s="1">
        <v>11549</v>
      </c>
      <c r="B4" s="2">
        <v>28827242.585900001</v>
      </c>
      <c r="C4" s="3">
        <v>113227579.04799999</v>
      </c>
      <c r="D4">
        <f t="shared" si="0"/>
        <v>0.25459559259568215</v>
      </c>
      <c r="E4" s="5">
        <v>50120</v>
      </c>
      <c r="F4" s="9" t="s">
        <v>7</v>
      </c>
      <c r="G4" s="9" t="s">
        <v>27</v>
      </c>
      <c r="H4" s="5" t="str">
        <f t="shared" si="1"/>
        <v>20190</v>
      </c>
    </row>
    <row r="5" spans="1:8" hidden="1">
      <c r="A5" s="1">
        <v>11549</v>
      </c>
      <c r="B5" s="2">
        <v>3473097.6452199998</v>
      </c>
      <c r="C5" s="3">
        <v>113227579.04799999</v>
      </c>
      <c r="D5">
        <f t="shared" si="0"/>
        <v>3.0673601559101312E-2</v>
      </c>
      <c r="E5" s="5">
        <v>50407</v>
      </c>
      <c r="F5" s="9" t="s">
        <v>7</v>
      </c>
      <c r="G5" s="9" t="s">
        <v>27</v>
      </c>
      <c r="H5" s="5" t="str">
        <f t="shared" si="1"/>
        <v>20190</v>
      </c>
    </row>
    <row r="6" spans="1:8" hidden="1">
      <c r="A6" s="1">
        <v>11550</v>
      </c>
      <c r="B6" s="2">
        <v>35677854.5779</v>
      </c>
      <c r="C6" s="3">
        <v>113227579.04799999</v>
      </c>
      <c r="D6">
        <f t="shared" si="0"/>
        <v>0.31509862595203303</v>
      </c>
      <c r="E6" s="5">
        <v>50120</v>
      </c>
      <c r="F6" s="9" t="s">
        <v>7</v>
      </c>
      <c r="G6" s="9" t="s">
        <v>27</v>
      </c>
      <c r="H6" s="5" t="str">
        <f t="shared" si="1"/>
        <v>20190</v>
      </c>
    </row>
    <row r="7" spans="1:8" hidden="1">
      <c r="A7" s="1">
        <v>11550</v>
      </c>
      <c r="B7" s="2">
        <v>908806.11054499994</v>
      </c>
      <c r="C7" s="3">
        <v>113227579.04799999</v>
      </c>
      <c r="D7">
        <f t="shared" si="0"/>
        <v>8.02636705815051E-3</v>
      </c>
      <c r="E7" s="5">
        <v>50407</v>
      </c>
      <c r="F7" s="9" t="s">
        <v>7</v>
      </c>
      <c r="G7" s="9" t="s">
        <v>27</v>
      </c>
      <c r="H7" s="5" t="str">
        <f t="shared" si="1"/>
        <v>20190</v>
      </c>
    </row>
    <row r="8" spans="1:8" hidden="1">
      <c r="A8" s="1">
        <v>11551</v>
      </c>
      <c r="B8" s="2">
        <v>167641.68118499999</v>
      </c>
      <c r="C8" s="3">
        <v>113227579.04799999</v>
      </c>
      <c r="D8">
        <f t="shared" si="0"/>
        <v>1.480572865679063E-3</v>
      </c>
      <c r="E8" s="5">
        <v>50120</v>
      </c>
      <c r="F8" s="9" t="s">
        <v>7</v>
      </c>
      <c r="G8" s="9" t="s">
        <v>27</v>
      </c>
      <c r="H8" s="5" t="str">
        <f t="shared" si="1"/>
        <v>20190</v>
      </c>
    </row>
    <row r="9" spans="1:8" hidden="1">
      <c r="A9" s="1">
        <v>11901</v>
      </c>
      <c r="B9" s="2">
        <v>9293723.2653400004</v>
      </c>
      <c r="C9" s="3">
        <v>11816504.4702</v>
      </c>
      <c r="D9">
        <f t="shared" si="0"/>
        <v>0.78650359662434921</v>
      </c>
      <c r="E9" s="5">
        <v>49934</v>
      </c>
      <c r="F9" s="9" t="s">
        <v>7</v>
      </c>
      <c r="G9" s="9" t="s">
        <v>28</v>
      </c>
      <c r="H9" s="5" t="str">
        <f t="shared" si="1"/>
        <v>20498</v>
      </c>
    </row>
    <row r="10" spans="1:8" hidden="1">
      <c r="A10" s="1">
        <v>11902</v>
      </c>
      <c r="B10" s="2">
        <v>18824692.040600002</v>
      </c>
      <c r="C10" s="3">
        <v>113227579.04799999</v>
      </c>
      <c r="D10">
        <f t="shared" si="0"/>
        <v>0.1662553610955485</v>
      </c>
      <c r="E10" s="5">
        <v>50120</v>
      </c>
      <c r="F10" s="9" t="s">
        <v>7</v>
      </c>
      <c r="G10" s="9" t="s">
        <v>27</v>
      </c>
      <c r="H10" s="5" t="str">
        <f t="shared" si="1"/>
        <v>20190</v>
      </c>
    </row>
    <row r="11" spans="1:8" hidden="1">
      <c r="A11" s="1">
        <v>11902</v>
      </c>
      <c r="B11" s="2">
        <v>356799.42243799998</v>
      </c>
      <c r="C11" s="3">
        <v>11816504.4702</v>
      </c>
      <c r="D11">
        <f t="shared" si="0"/>
        <v>3.0195005920558921E-2</v>
      </c>
      <c r="E11" s="5">
        <v>49934</v>
      </c>
      <c r="F11" s="9" t="s">
        <v>7</v>
      </c>
      <c r="G11" s="9" t="s">
        <v>28</v>
      </c>
      <c r="H11" s="5" t="str">
        <f t="shared" si="1"/>
        <v>20498</v>
      </c>
    </row>
    <row r="12" spans="1:8" hidden="1">
      <c r="A12" s="1">
        <v>11903</v>
      </c>
      <c r="B12" s="2">
        <v>25348244.406800002</v>
      </c>
      <c r="C12" s="3">
        <v>113227579.04799999</v>
      </c>
      <c r="D12">
        <f t="shared" si="0"/>
        <v>0.22386987887513032</v>
      </c>
      <c r="E12" s="5">
        <v>50120</v>
      </c>
      <c r="F12" s="9" t="s">
        <v>7</v>
      </c>
      <c r="G12" s="9" t="s">
        <v>27</v>
      </c>
      <c r="H12" s="5" t="str">
        <f t="shared" si="1"/>
        <v>20190</v>
      </c>
    </row>
    <row r="13" spans="1:8" hidden="1">
      <c r="A13" s="1">
        <v>12254</v>
      </c>
      <c r="B13" s="2">
        <v>3263.5240440299999</v>
      </c>
      <c r="C13" s="3">
        <v>3263.5240440299999</v>
      </c>
      <c r="D13">
        <f t="shared" si="0"/>
        <v>1</v>
      </c>
      <c r="E13" s="5">
        <v>49934</v>
      </c>
      <c r="F13" s="9" t="s">
        <v>7</v>
      </c>
      <c r="G13" s="9" t="s">
        <v>29</v>
      </c>
      <c r="H13" s="5" t="str">
        <f t="shared" si="1"/>
        <v>20205</v>
      </c>
    </row>
    <row r="14" spans="1:8" hidden="1">
      <c r="A14" s="1">
        <v>12254</v>
      </c>
      <c r="B14" s="2">
        <v>2165981.78241</v>
      </c>
      <c r="C14" s="3">
        <v>11816504.4702</v>
      </c>
      <c r="D14">
        <f t="shared" si="0"/>
        <v>0.18330139745407634</v>
      </c>
      <c r="E14" s="5">
        <v>49934</v>
      </c>
      <c r="F14" s="9" t="s">
        <v>7</v>
      </c>
      <c r="G14" s="9" t="s">
        <v>28</v>
      </c>
      <c r="H14" s="5" t="str">
        <f t="shared" si="1"/>
        <v>20498</v>
      </c>
    </row>
    <row r="15" spans="1:8" hidden="1">
      <c r="A15" s="1">
        <v>13335</v>
      </c>
      <c r="B15" s="2">
        <v>14488.972376899999</v>
      </c>
      <c r="C15" s="3">
        <v>24581130.696600001</v>
      </c>
      <c r="D15">
        <f t="shared" si="0"/>
        <v>5.8943473983090922E-4</v>
      </c>
      <c r="E15" s="5">
        <v>48691</v>
      </c>
      <c r="F15" s="9" t="s">
        <v>8</v>
      </c>
      <c r="G15" s="9" t="s">
        <v>30</v>
      </c>
      <c r="H15" s="5" t="str">
        <f t="shared" si="1"/>
        <v>27008</v>
      </c>
    </row>
    <row r="16" spans="1:8" hidden="1">
      <c r="A16" s="1">
        <v>13356</v>
      </c>
      <c r="B16" s="2">
        <v>5181025.0183499996</v>
      </c>
      <c r="C16" s="3">
        <v>18606412.4738</v>
      </c>
      <c r="D16">
        <f t="shared" si="0"/>
        <v>0.27845373339140406</v>
      </c>
      <c r="E16" s="5">
        <v>48750</v>
      </c>
      <c r="F16" s="9" t="s">
        <v>9</v>
      </c>
      <c r="G16" s="9" t="s">
        <v>31</v>
      </c>
      <c r="H16" s="5" t="str">
        <f t="shared" si="1"/>
        <v>07065</v>
      </c>
    </row>
    <row r="17" spans="1:8" hidden="1">
      <c r="A17" s="1">
        <v>13356</v>
      </c>
      <c r="B17" s="2">
        <v>1278221.72489</v>
      </c>
      <c r="C17" s="3">
        <v>18606412.4738</v>
      </c>
      <c r="D17">
        <f t="shared" si="0"/>
        <v>6.86979140492497E-2</v>
      </c>
      <c r="E17" s="5">
        <v>48856</v>
      </c>
      <c r="F17" s="9" t="s">
        <v>9</v>
      </c>
      <c r="G17" s="9" t="s">
        <v>31</v>
      </c>
      <c r="H17" s="5" t="str">
        <f t="shared" si="1"/>
        <v>07065</v>
      </c>
    </row>
    <row r="18" spans="1:8" hidden="1">
      <c r="A18" s="1">
        <v>13356</v>
      </c>
      <c r="B18" s="2">
        <v>699016.05411200004</v>
      </c>
      <c r="C18" s="3">
        <v>18606412.4738</v>
      </c>
      <c r="D18">
        <f t="shared" si="0"/>
        <v>3.7568556275762249E-2</v>
      </c>
      <c r="E18" s="5">
        <v>48885</v>
      </c>
      <c r="F18" s="9" t="s">
        <v>9</v>
      </c>
      <c r="G18" s="9" t="s">
        <v>31</v>
      </c>
      <c r="H18" s="5" t="str">
        <f t="shared" si="1"/>
        <v>07065</v>
      </c>
    </row>
    <row r="19" spans="1:8" hidden="1">
      <c r="A19" s="1">
        <v>13686</v>
      </c>
      <c r="B19" s="2">
        <v>6893507.9820999997</v>
      </c>
      <c r="C19" s="3">
        <v>24581130.696600001</v>
      </c>
      <c r="D19">
        <f t="shared" si="0"/>
        <v>0.28043901101154356</v>
      </c>
      <c r="E19" s="5">
        <v>48311</v>
      </c>
      <c r="F19" s="9" t="s">
        <v>8</v>
      </c>
      <c r="G19" s="9" t="s">
        <v>30</v>
      </c>
      <c r="H19" s="5" t="str">
        <f t="shared" si="1"/>
        <v>27008</v>
      </c>
    </row>
    <row r="20" spans="1:8" hidden="1">
      <c r="A20" s="1">
        <v>13686</v>
      </c>
      <c r="B20" s="2">
        <v>892375.99695399997</v>
      </c>
      <c r="C20" s="3">
        <v>24581130.696600001</v>
      </c>
      <c r="D20">
        <f t="shared" si="0"/>
        <v>3.6303293284935471E-2</v>
      </c>
      <c r="E20" s="5">
        <v>48398</v>
      </c>
      <c r="F20" s="9" t="s">
        <v>8</v>
      </c>
      <c r="G20" s="9" t="s">
        <v>30</v>
      </c>
      <c r="H20" s="5" t="str">
        <f t="shared" si="1"/>
        <v>27008</v>
      </c>
    </row>
    <row r="21" spans="1:8" hidden="1">
      <c r="A21" s="1">
        <v>13687</v>
      </c>
      <c r="B21" s="2">
        <v>506645.50832999998</v>
      </c>
      <c r="C21" s="3">
        <v>24581130.696600001</v>
      </c>
      <c r="D21">
        <f t="shared" si="0"/>
        <v>2.0611155547864114E-2</v>
      </c>
      <c r="E21" s="5">
        <v>48398</v>
      </c>
      <c r="F21" s="9" t="s">
        <v>8</v>
      </c>
      <c r="G21" s="9" t="s">
        <v>30</v>
      </c>
      <c r="H21" s="5" t="str">
        <f t="shared" si="1"/>
        <v>27008</v>
      </c>
    </row>
    <row r="22" spans="1:8" hidden="1">
      <c r="A22" s="1">
        <v>13688</v>
      </c>
      <c r="B22" s="2">
        <v>2893847.7337199999</v>
      </c>
      <c r="C22" s="3">
        <v>24581130.696600001</v>
      </c>
      <c r="D22">
        <f t="shared" si="0"/>
        <v>0.1177263881567608</v>
      </c>
      <c r="E22" s="5">
        <v>48623</v>
      </c>
      <c r="F22" s="9" t="s">
        <v>8</v>
      </c>
      <c r="G22" s="9" t="s">
        <v>30</v>
      </c>
      <c r="H22" s="5" t="str">
        <f t="shared" si="1"/>
        <v>27008</v>
      </c>
    </row>
    <row r="23" spans="1:8" hidden="1">
      <c r="A23" s="1">
        <v>13688</v>
      </c>
      <c r="B23" s="2">
        <v>449973.84181100002</v>
      </c>
      <c r="C23" s="3">
        <v>24581130.696600001</v>
      </c>
      <c r="D23">
        <f t="shared" si="0"/>
        <v>1.8305660848759869E-2</v>
      </c>
      <c r="E23" s="5">
        <v>48691</v>
      </c>
      <c r="F23" s="9" t="s">
        <v>8</v>
      </c>
      <c r="G23" s="9" t="s">
        <v>30</v>
      </c>
      <c r="H23" s="5" t="str">
        <f t="shared" si="1"/>
        <v>27008</v>
      </c>
    </row>
    <row r="24" spans="1:8" hidden="1">
      <c r="A24" s="1">
        <v>13709</v>
      </c>
      <c r="B24" s="2">
        <v>8403581.3652299996</v>
      </c>
      <c r="C24" s="3">
        <v>18606412.4738</v>
      </c>
      <c r="D24">
        <f t="shared" si="0"/>
        <v>0.45164974048937284</v>
      </c>
      <c r="E24" s="5">
        <v>48363</v>
      </c>
      <c r="F24" s="9" t="s">
        <v>9</v>
      </c>
      <c r="G24" s="9" t="s">
        <v>31</v>
      </c>
      <c r="H24" s="5" t="str">
        <f t="shared" si="1"/>
        <v>07065</v>
      </c>
    </row>
    <row r="25" spans="1:8" hidden="1">
      <c r="A25" s="1">
        <v>13709</v>
      </c>
      <c r="B25" s="2">
        <v>94252.629235100001</v>
      </c>
      <c r="C25" s="3">
        <v>18606412.4738</v>
      </c>
      <c r="D25">
        <f t="shared" si="0"/>
        <v>5.0655992587404315E-3</v>
      </c>
      <c r="E25" s="5">
        <v>48470</v>
      </c>
      <c r="F25" s="9" t="s">
        <v>9</v>
      </c>
      <c r="G25" s="9" t="s">
        <v>31</v>
      </c>
      <c r="H25" s="5" t="str">
        <f t="shared" si="1"/>
        <v>07065</v>
      </c>
    </row>
    <row r="26" spans="1:8" hidden="1">
      <c r="A26" s="1">
        <v>13710</v>
      </c>
      <c r="B26" s="2">
        <v>482452.34228600003</v>
      </c>
      <c r="C26" s="3">
        <v>18606412.4738</v>
      </c>
      <c r="D26">
        <f t="shared" si="0"/>
        <v>2.5929358653386258E-2</v>
      </c>
      <c r="E26" s="5">
        <v>48389</v>
      </c>
      <c r="F26" s="9" t="s">
        <v>9</v>
      </c>
      <c r="G26" s="9" t="s">
        <v>31</v>
      </c>
      <c r="H26" s="5" t="str">
        <f t="shared" si="1"/>
        <v>07065</v>
      </c>
    </row>
    <row r="27" spans="1:8" hidden="1">
      <c r="A27" s="1">
        <v>13710</v>
      </c>
      <c r="B27" s="2">
        <v>510473.99867900001</v>
      </c>
      <c r="C27" s="3">
        <v>18606412.4738</v>
      </c>
      <c r="D27">
        <f t="shared" si="0"/>
        <v>2.7435380108755892E-2</v>
      </c>
      <c r="E27" s="5">
        <v>48448</v>
      </c>
      <c r="F27" s="9" t="s">
        <v>9</v>
      </c>
      <c r="G27" s="9" t="s">
        <v>31</v>
      </c>
      <c r="H27" s="5" t="str">
        <f t="shared" si="1"/>
        <v>07065</v>
      </c>
    </row>
    <row r="28" spans="1:8" hidden="1">
      <c r="A28" s="1">
        <v>13710</v>
      </c>
      <c r="B28" s="2">
        <v>878336.81678700005</v>
      </c>
      <c r="C28" s="3">
        <v>18606412.4738</v>
      </c>
      <c r="D28">
        <f t="shared" si="0"/>
        <v>4.720613487547913E-2</v>
      </c>
      <c r="E28" s="5">
        <v>48470</v>
      </c>
      <c r="F28" s="9" t="s">
        <v>9</v>
      </c>
      <c r="G28" s="9" t="s">
        <v>31</v>
      </c>
      <c r="H28" s="5" t="str">
        <f t="shared" si="1"/>
        <v>07065</v>
      </c>
    </row>
    <row r="29" spans="1:8" hidden="1">
      <c r="A29" s="1">
        <v>13713</v>
      </c>
      <c r="B29" s="2">
        <v>670760.76748299995</v>
      </c>
      <c r="C29" s="3">
        <v>2956879.64573</v>
      </c>
      <c r="D29">
        <f t="shared" si="0"/>
        <v>0.22684750407465479</v>
      </c>
      <c r="E29" s="5">
        <v>48328</v>
      </c>
      <c r="F29" s="9" t="s">
        <v>8</v>
      </c>
      <c r="G29" s="9" t="s">
        <v>32</v>
      </c>
      <c r="H29" s="5" t="str">
        <f t="shared" si="1"/>
        <v>27001</v>
      </c>
    </row>
    <row r="30" spans="1:8" hidden="1">
      <c r="A30" s="1">
        <v>13713</v>
      </c>
      <c r="B30" s="2">
        <v>398413.05799599999</v>
      </c>
      <c r="C30" s="3">
        <v>2956879.64573</v>
      </c>
      <c r="D30">
        <f t="shared" si="0"/>
        <v>0.13474104655268748</v>
      </c>
      <c r="E30" s="5">
        <v>48480</v>
      </c>
      <c r="F30" s="9" t="s">
        <v>8</v>
      </c>
      <c r="G30" s="9" t="s">
        <v>32</v>
      </c>
      <c r="H30" s="5" t="str">
        <f t="shared" si="1"/>
        <v>27001</v>
      </c>
    </row>
    <row r="31" spans="1:8" hidden="1">
      <c r="A31" s="1">
        <v>13714</v>
      </c>
      <c r="B31" s="2">
        <v>680127.33867700002</v>
      </c>
      <c r="C31" s="3">
        <v>2956879.64573</v>
      </c>
      <c r="D31">
        <f t="shared" si="0"/>
        <v>0.2300152255635988</v>
      </c>
      <c r="E31" s="5">
        <v>48328</v>
      </c>
      <c r="F31" s="9" t="s">
        <v>8</v>
      </c>
      <c r="G31" s="9" t="s">
        <v>32</v>
      </c>
      <c r="H31" s="5" t="str">
        <f t="shared" si="1"/>
        <v>27001</v>
      </c>
    </row>
    <row r="32" spans="1:8" hidden="1">
      <c r="A32" s="1">
        <v>14039</v>
      </c>
      <c r="B32" s="2">
        <v>1108095.2765599999</v>
      </c>
      <c r="C32" s="3">
        <v>24581130.696600001</v>
      </c>
      <c r="D32">
        <f t="shared" si="0"/>
        <v>4.5079101129927635E-2</v>
      </c>
      <c r="E32" s="5">
        <v>48311</v>
      </c>
      <c r="F32" s="9" t="s">
        <v>8</v>
      </c>
      <c r="G32" s="9" t="s">
        <v>30</v>
      </c>
      <c r="H32" s="5" t="str">
        <f t="shared" si="1"/>
        <v>27008</v>
      </c>
    </row>
    <row r="33" spans="1:8" hidden="1">
      <c r="A33" s="1">
        <v>14040</v>
      </c>
      <c r="B33" s="2">
        <v>1001991.4595699999</v>
      </c>
      <c r="C33" s="3">
        <v>24581130.696600001</v>
      </c>
      <c r="D33">
        <f t="shared" si="0"/>
        <v>4.0762626908313573E-2</v>
      </c>
      <c r="E33" s="5">
        <v>48229</v>
      </c>
      <c r="F33" s="9" t="s">
        <v>8</v>
      </c>
      <c r="G33" s="9" t="s">
        <v>30</v>
      </c>
      <c r="H33" s="5" t="str">
        <f t="shared" si="1"/>
        <v>27008</v>
      </c>
    </row>
    <row r="34" spans="1:8" hidden="1">
      <c r="A34" s="1">
        <v>14041</v>
      </c>
      <c r="B34" s="2">
        <v>1249059.8738299999</v>
      </c>
      <c r="C34" s="3">
        <v>24581130.696600001</v>
      </c>
      <c r="D34">
        <f t="shared" si="0"/>
        <v>5.0813768058389872E-2</v>
      </c>
      <c r="E34" s="5">
        <v>47863</v>
      </c>
      <c r="F34" s="9" t="s">
        <v>8</v>
      </c>
      <c r="G34" s="9" t="s">
        <v>30</v>
      </c>
      <c r="H34" s="5" t="str">
        <f t="shared" si="1"/>
        <v>27008</v>
      </c>
    </row>
    <row r="35" spans="1:8" hidden="1">
      <c r="A35" s="1">
        <v>14041</v>
      </c>
      <c r="B35" s="2">
        <v>7403903.3213799996</v>
      </c>
      <c r="C35" s="3">
        <v>24581130.696600001</v>
      </c>
      <c r="D35">
        <f t="shared" si="0"/>
        <v>0.30120271572389828</v>
      </c>
      <c r="E35" s="5">
        <v>47933</v>
      </c>
      <c r="F35" s="9" t="s">
        <v>8</v>
      </c>
      <c r="G35" s="9" t="s">
        <v>30</v>
      </c>
      <c r="H35" s="5" t="str">
        <f t="shared" si="1"/>
        <v>27008</v>
      </c>
    </row>
    <row r="36" spans="1:8" hidden="1">
      <c r="A36" s="1">
        <v>14062</v>
      </c>
      <c r="B36" s="2">
        <v>538963.89356</v>
      </c>
      <c r="C36" s="3">
        <v>18606412.4738</v>
      </c>
      <c r="D36">
        <f t="shared" si="0"/>
        <v>2.8966567000431924E-2</v>
      </c>
      <c r="E36" s="5">
        <v>48264</v>
      </c>
      <c r="F36" s="9" t="s">
        <v>9</v>
      </c>
      <c r="G36" s="9" t="s">
        <v>31</v>
      </c>
      <c r="H36" s="5" t="str">
        <f t="shared" si="1"/>
        <v>07065</v>
      </c>
    </row>
    <row r="37" spans="1:8" hidden="1">
      <c r="A37" s="1">
        <v>14062</v>
      </c>
      <c r="B37" s="2">
        <v>540088.63063599996</v>
      </c>
      <c r="C37" s="3">
        <v>18606412.4738</v>
      </c>
      <c r="D37">
        <f t="shared" si="0"/>
        <v>2.9027015895541807E-2</v>
      </c>
      <c r="E37" s="5">
        <v>48274</v>
      </c>
      <c r="F37" s="9" t="s">
        <v>9</v>
      </c>
      <c r="G37" s="9" t="s">
        <v>31</v>
      </c>
      <c r="H37" s="5" t="str">
        <f t="shared" si="1"/>
        <v>07065</v>
      </c>
    </row>
    <row r="38" spans="1:8" hidden="1">
      <c r="A38" s="1">
        <v>14066</v>
      </c>
      <c r="B38" s="2">
        <v>458488.65744799998</v>
      </c>
      <c r="C38" s="3">
        <v>2956879.64573</v>
      </c>
      <c r="D38">
        <f t="shared" si="0"/>
        <v>0.15505827506712991</v>
      </c>
      <c r="E38" s="5">
        <v>48328</v>
      </c>
      <c r="F38" s="9" t="s">
        <v>8</v>
      </c>
      <c r="G38" s="9" t="s">
        <v>32</v>
      </c>
      <c r="H38" s="5" t="str">
        <f t="shared" si="1"/>
        <v>27001</v>
      </c>
    </row>
    <row r="39" spans="1:8" hidden="1">
      <c r="A39" s="1">
        <v>14067</v>
      </c>
      <c r="B39" s="2">
        <v>371022.242318</v>
      </c>
      <c r="C39" s="3">
        <v>2956879.64573</v>
      </c>
      <c r="D39">
        <f t="shared" si="0"/>
        <v>0.12547762735415677</v>
      </c>
      <c r="E39" s="5">
        <v>48290</v>
      </c>
      <c r="F39" s="9" t="s">
        <v>8</v>
      </c>
      <c r="G39" s="9" t="s">
        <v>32</v>
      </c>
      <c r="H39" s="5" t="str">
        <f t="shared" si="1"/>
        <v>27001</v>
      </c>
    </row>
    <row r="40" spans="1:8" hidden="1">
      <c r="A40" s="1">
        <v>14067</v>
      </c>
      <c r="B40" s="2">
        <v>378067.58181200002</v>
      </c>
      <c r="C40" s="3">
        <v>2956879.64573</v>
      </c>
      <c r="D40">
        <f t="shared" si="0"/>
        <v>0.12786032138912504</v>
      </c>
      <c r="E40" s="5">
        <v>48328</v>
      </c>
      <c r="F40" s="9" t="s">
        <v>8</v>
      </c>
      <c r="G40" s="9" t="s">
        <v>32</v>
      </c>
      <c r="H40" s="5" t="str">
        <f t="shared" si="1"/>
        <v>27001</v>
      </c>
    </row>
    <row r="41" spans="1:8" hidden="1">
      <c r="A41" s="1">
        <v>14394</v>
      </c>
      <c r="B41" s="2">
        <v>2167240.7299600001</v>
      </c>
      <c r="C41" s="3">
        <v>24581130.696600001</v>
      </c>
      <c r="D41">
        <f t="shared" si="0"/>
        <v>8.8166844589446292E-2</v>
      </c>
      <c r="E41" s="5">
        <v>47863</v>
      </c>
      <c r="F41" s="9" t="s">
        <v>8</v>
      </c>
      <c r="G41" s="9" t="s">
        <v>30</v>
      </c>
      <c r="H41" s="5" t="str">
        <f t="shared" si="1"/>
        <v>27008</v>
      </c>
    </row>
    <row r="42" spans="1:8" hidden="1">
      <c r="A42" s="1">
        <v>15095</v>
      </c>
      <c r="B42" s="2">
        <v>824791.87794999999</v>
      </c>
      <c r="C42" s="3">
        <v>824791.87794999999</v>
      </c>
      <c r="D42">
        <f t="shared" si="0"/>
        <v>1</v>
      </c>
      <c r="E42" s="5">
        <v>46525</v>
      </c>
      <c r="F42" s="9" t="s">
        <v>10</v>
      </c>
      <c r="G42" s="9" t="s">
        <v>33</v>
      </c>
      <c r="H42" s="5" t="str">
        <f t="shared" si="1"/>
        <v>30204</v>
      </c>
    </row>
    <row r="43" spans="1:8" hidden="1">
      <c r="A43" s="1">
        <v>16894</v>
      </c>
      <c r="B43" s="2">
        <v>1206120.9259599999</v>
      </c>
      <c r="C43" s="3">
        <v>26080552.303199999</v>
      </c>
      <c r="D43">
        <f t="shared" si="0"/>
        <v>4.62459886561533E-2</v>
      </c>
      <c r="E43" s="5">
        <v>43089</v>
      </c>
      <c r="F43" s="9" t="s">
        <v>11</v>
      </c>
      <c r="G43" s="9" t="s">
        <v>34</v>
      </c>
      <c r="H43" s="5" t="str">
        <f t="shared" si="1"/>
        <v>04003</v>
      </c>
    </row>
    <row r="44" spans="1:8" hidden="1">
      <c r="A44" s="1">
        <v>16895</v>
      </c>
      <c r="B44" s="2">
        <v>106707.53662699999</v>
      </c>
      <c r="C44" s="3">
        <v>26080552.303199999</v>
      </c>
      <c r="D44">
        <f t="shared" si="0"/>
        <v>4.0914600038553369E-3</v>
      </c>
      <c r="E44" s="5">
        <v>43089</v>
      </c>
      <c r="F44" s="9" t="s">
        <v>11</v>
      </c>
      <c r="G44" s="9" t="s">
        <v>34</v>
      </c>
      <c r="H44" s="5" t="str">
        <f t="shared" si="1"/>
        <v>04003</v>
      </c>
    </row>
    <row r="45" spans="1:8" hidden="1">
      <c r="A45" s="1">
        <v>17247</v>
      </c>
      <c r="B45" s="2">
        <v>584112.297792</v>
      </c>
      <c r="C45" s="3">
        <v>26080552.303199999</v>
      </c>
      <c r="D45">
        <f t="shared" si="0"/>
        <v>2.2396469637659143E-2</v>
      </c>
      <c r="E45" s="5">
        <v>42610</v>
      </c>
      <c r="F45" s="9" t="s">
        <v>11</v>
      </c>
      <c r="G45" s="9" t="s">
        <v>34</v>
      </c>
      <c r="H45" s="5" t="str">
        <f t="shared" si="1"/>
        <v>04003</v>
      </c>
    </row>
    <row r="46" spans="1:8" hidden="1">
      <c r="A46" s="1">
        <v>17247</v>
      </c>
      <c r="B46" s="2">
        <v>5520660.2594600003</v>
      </c>
      <c r="C46" s="3">
        <v>26080552.303199999</v>
      </c>
      <c r="D46">
        <f t="shared" si="0"/>
        <v>0.21167727566807062</v>
      </c>
      <c r="E46" s="5">
        <v>43089</v>
      </c>
      <c r="F46" s="9" t="s">
        <v>11</v>
      </c>
      <c r="G46" s="9" t="s">
        <v>34</v>
      </c>
      <c r="H46" s="5" t="str">
        <f t="shared" si="1"/>
        <v>04003</v>
      </c>
    </row>
    <row r="47" spans="1:8" hidden="1">
      <c r="A47" s="1">
        <v>17248</v>
      </c>
      <c r="B47" s="2">
        <v>8551071.5591199994</v>
      </c>
      <c r="C47" s="3">
        <v>26080552.303199999</v>
      </c>
      <c r="D47">
        <f t="shared" si="0"/>
        <v>0.32787156727776851</v>
      </c>
      <c r="E47" s="5">
        <v>42610</v>
      </c>
      <c r="F47" s="9" t="s">
        <v>11</v>
      </c>
      <c r="G47" s="9" t="s">
        <v>34</v>
      </c>
      <c r="H47" s="5" t="str">
        <f t="shared" si="1"/>
        <v>04003</v>
      </c>
    </row>
    <row r="48" spans="1:8" hidden="1">
      <c r="A48" s="1">
        <v>17600</v>
      </c>
      <c r="B48" s="2">
        <v>658122.17208699998</v>
      </c>
      <c r="C48" s="3">
        <v>26080552.303199999</v>
      </c>
      <c r="D48">
        <f t="shared" si="0"/>
        <v>2.5234211470523595E-2</v>
      </c>
      <c r="E48" s="5">
        <v>42610</v>
      </c>
      <c r="F48" s="9" t="s">
        <v>11</v>
      </c>
      <c r="G48" s="9" t="s">
        <v>34</v>
      </c>
      <c r="H48" s="5" t="str">
        <f t="shared" si="1"/>
        <v>04003</v>
      </c>
    </row>
    <row r="49" spans="1:8" hidden="1">
      <c r="A49" s="1">
        <v>17601</v>
      </c>
      <c r="B49" s="2">
        <v>8445536.6723999996</v>
      </c>
      <c r="C49" s="3">
        <v>26080552.303199999</v>
      </c>
      <c r="D49">
        <f t="shared" si="0"/>
        <v>0.32382506989178139</v>
      </c>
      <c r="E49" s="5">
        <v>42610</v>
      </c>
      <c r="F49" s="9" t="s">
        <v>11</v>
      </c>
      <c r="G49" s="9" t="s">
        <v>34</v>
      </c>
      <c r="H49" s="5" t="str">
        <f t="shared" si="1"/>
        <v>04003</v>
      </c>
    </row>
    <row r="50" spans="1:8" hidden="1">
      <c r="A50" s="1">
        <v>18223</v>
      </c>
      <c r="B50" s="2">
        <v>352890.98705900001</v>
      </c>
      <c r="C50" s="3">
        <v>2688398.7288500001</v>
      </c>
      <c r="D50">
        <f t="shared" si="0"/>
        <v>0.13126437803738808</v>
      </c>
      <c r="E50" s="5">
        <v>41377</v>
      </c>
      <c r="F50" s="9" t="s">
        <v>12</v>
      </c>
      <c r="G50" s="9" t="s">
        <v>35</v>
      </c>
      <c r="H50" s="5" t="str">
        <f t="shared" si="1"/>
        <v>21114</v>
      </c>
    </row>
    <row r="51" spans="1:8" hidden="1">
      <c r="A51" s="1">
        <v>18577</v>
      </c>
      <c r="B51" s="2">
        <v>722843.51503799995</v>
      </c>
      <c r="C51" s="3">
        <v>2688398.7288500001</v>
      </c>
      <c r="D51">
        <f t="shared" si="0"/>
        <v>0.26887511412684173</v>
      </c>
      <c r="E51" s="5">
        <v>41122</v>
      </c>
      <c r="F51" s="9" t="s">
        <v>12</v>
      </c>
      <c r="G51" s="9" t="s">
        <v>35</v>
      </c>
      <c r="H51" s="5" t="str">
        <f t="shared" si="1"/>
        <v>21114</v>
      </c>
    </row>
    <row r="52" spans="1:8" hidden="1">
      <c r="A52" s="1">
        <v>18577</v>
      </c>
      <c r="B52" s="2">
        <v>1023573.91306</v>
      </c>
      <c r="C52" s="3">
        <v>2688398.7288500001</v>
      </c>
      <c r="D52">
        <f t="shared" si="0"/>
        <v>0.38073738916617034</v>
      </c>
      <c r="E52" s="5">
        <v>41159</v>
      </c>
      <c r="F52" s="9" t="s">
        <v>12</v>
      </c>
      <c r="G52" s="9" t="s">
        <v>35</v>
      </c>
      <c r="H52" s="5" t="str">
        <f t="shared" si="1"/>
        <v>21114</v>
      </c>
    </row>
    <row r="53" spans="1:8" hidden="1">
      <c r="A53" s="1">
        <v>18578</v>
      </c>
      <c r="B53" s="2">
        <v>30.856196208899998</v>
      </c>
      <c r="C53" s="3">
        <v>49502.593090599999</v>
      </c>
      <c r="D53">
        <f t="shared" si="0"/>
        <v>6.2332484588083637E-4</v>
      </c>
      <c r="E53" s="5">
        <v>41123</v>
      </c>
      <c r="F53" s="9" t="s">
        <v>12</v>
      </c>
      <c r="G53" s="9" t="s">
        <v>36</v>
      </c>
      <c r="H53" s="5" t="str">
        <f t="shared" si="1"/>
        <v>21015</v>
      </c>
    </row>
    <row r="54" spans="1:8" hidden="1">
      <c r="A54" s="1">
        <v>18578</v>
      </c>
      <c r="B54" s="2">
        <v>49471.736894399997</v>
      </c>
      <c r="C54" s="3">
        <v>49502.593090599999</v>
      </c>
      <c r="D54">
        <f t="shared" si="0"/>
        <v>0.99937667515429895</v>
      </c>
      <c r="E54" s="5">
        <v>41159</v>
      </c>
      <c r="F54" s="9" t="s">
        <v>12</v>
      </c>
      <c r="G54" s="9" t="s">
        <v>36</v>
      </c>
      <c r="H54" s="5" t="str">
        <f t="shared" si="1"/>
        <v>21015</v>
      </c>
    </row>
    <row r="55" spans="1:8" hidden="1">
      <c r="A55" s="1">
        <v>18578</v>
      </c>
      <c r="B55" s="2">
        <v>334161.43744000001</v>
      </c>
      <c r="C55" s="3">
        <v>2688398.7288500001</v>
      </c>
      <c r="D55">
        <f t="shared" si="0"/>
        <v>0.1242975730698036</v>
      </c>
      <c r="E55" s="5">
        <v>41123</v>
      </c>
      <c r="F55" s="9" t="s">
        <v>12</v>
      </c>
      <c r="G55" s="9" t="s">
        <v>35</v>
      </c>
      <c r="H55" s="5" t="str">
        <f t="shared" si="1"/>
        <v>21114</v>
      </c>
    </row>
    <row r="56" spans="1:8" hidden="1">
      <c r="A56" s="1">
        <v>18578</v>
      </c>
      <c r="B56" s="2">
        <v>254928.87624400001</v>
      </c>
      <c r="C56" s="3">
        <v>2688398.7288500001</v>
      </c>
      <c r="D56">
        <f t="shared" si="0"/>
        <v>9.4825545596448554E-2</v>
      </c>
      <c r="E56" s="5">
        <v>41159</v>
      </c>
      <c r="F56" s="9" t="s">
        <v>12</v>
      </c>
      <c r="G56" s="9" t="s">
        <v>35</v>
      </c>
      <c r="H56" s="5" t="str">
        <f t="shared" si="1"/>
        <v>21114</v>
      </c>
    </row>
    <row r="57" spans="1:8" hidden="1">
      <c r="A57" s="1">
        <v>19014</v>
      </c>
      <c r="B57" s="2">
        <v>1008220.87971</v>
      </c>
      <c r="C57" s="3">
        <v>26080552.303199999</v>
      </c>
      <c r="D57">
        <f t="shared" si="0"/>
        <v>3.8657957392501024E-2</v>
      </c>
      <c r="E57" s="5">
        <v>40380</v>
      </c>
      <c r="F57" s="9" t="s">
        <v>11</v>
      </c>
      <c r="G57" s="9" t="s">
        <v>34</v>
      </c>
      <c r="H57" s="5" t="str">
        <f t="shared" si="1"/>
        <v>04003</v>
      </c>
    </row>
    <row r="58" spans="1:8" hidden="1">
      <c r="A58" s="1">
        <v>19265</v>
      </c>
      <c r="B58" s="2">
        <v>437102.81487100001</v>
      </c>
      <c r="C58" s="3">
        <v>437102.81487100001</v>
      </c>
      <c r="D58">
        <f t="shared" si="0"/>
        <v>1</v>
      </c>
      <c r="E58" s="5">
        <v>40135</v>
      </c>
      <c r="F58" s="9" t="s">
        <v>13</v>
      </c>
      <c r="G58" s="9" t="s">
        <v>37</v>
      </c>
      <c r="H58" s="5" t="str">
        <f t="shared" si="1"/>
        <v>15118</v>
      </c>
    </row>
    <row r="59" spans="1:8" hidden="1">
      <c r="A59" s="1">
        <v>19272</v>
      </c>
      <c r="B59" s="2">
        <v>579734.88254799997</v>
      </c>
      <c r="C59" s="3">
        <v>663583.04154300003</v>
      </c>
      <c r="D59">
        <f t="shared" si="0"/>
        <v>0.87364330649554922</v>
      </c>
      <c r="E59" s="5">
        <v>39989</v>
      </c>
      <c r="F59" s="9" t="s">
        <v>14</v>
      </c>
      <c r="G59" s="9" t="s">
        <v>38</v>
      </c>
      <c r="H59" s="5" t="str">
        <f t="shared" si="1"/>
        <v>09013</v>
      </c>
    </row>
    <row r="60" spans="1:8" hidden="1">
      <c r="A60" s="1">
        <v>19273</v>
      </c>
      <c r="B60" s="2">
        <v>105794.188173</v>
      </c>
      <c r="C60" s="3">
        <v>125258.68854800001</v>
      </c>
      <c r="D60">
        <f t="shared" si="0"/>
        <v>0.84460558704044653</v>
      </c>
      <c r="E60" s="5">
        <v>39872</v>
      </c>
      <c r="F60" s="9" t="s">
        <v>14</v>
      </c>
      <c r="G60" s="9" t="s">
        <v>39</v>
      </c>
      <c r="H60" s="5" t="str">
        <f t="shared" si="1"/>
        <v>09011</v>
      </c>
    </row>
    <row r="61" spans="1:8" hidden="1">
      <c r="A61" s="1">
        <v>19273</v>
      </c>
      <c r="B61" s="2">
        <v>83848.158995499994</v>
      </c>
      <c r="C61" s="3">
        <v>663583.04154300003</v>
      </c>
      <c r="D61">
        <f t="shared" si="0"/>
        <v>0.12635669350520412</v>
      </c>
      <c r="E61" s="5">
        <v>39872</v>
      </c>
      <c r="F61" s="9" t="s">
        <v>14</v>
      </c>
      <c r="G61" s="9" t="s">
        <v>38</v>
      </c>
      <c r="H61" s="5" t="str">
        <f t="shared" si="1"/>
        <v>09013</v>
      </c>
    </row>
    <row r="62" spans="1:8" hidden="1">
      <c r="A62" s="1">
        <v>19275</v>
      </c>
      <c r="B62" s="2">
        <v>288869.66685899999</v>
      </c>
      <c r="C62" s="3">
        <v>805533.69687800005</v>
      </c>
      <c r="D62">
        <f t="shared" si="0"/>
        <v>0.35860655858168272</v>
      </c>
      <c r="E62" s="5">
        <v>39701</v>
      </c>
      <c r="F62" s="9" t="s">
        <v>13</v>
      </c>
      <c r="G62" s="9" t="s">
        <v>40</v>
      </c>
      <c r="H62" s="5" t="str">
        <f t="shared" si="1"/>
        <v>15025</v>
      </c>
    </row>
    <row r="63" spans="1:8" hidden="1">
      <c r="A63" s="1">
        <v>19623</v>
      </c>
      <c r="B63" s="2">
        <v>822742.13994699996</v>
      </c>
      <c r="C63" s="3">
        <v>822742.13994699996</v>
      </c>
      <c r="D63">
        <f t="shared" si="0"/>
        <v>1</v>
      </c>
      <c r="E63" s="5">
        <v>39088</v>
      </c>
      <c r="F63" s="9" t="s">
        <v>14</v>
      </c>
      <c r="G63" s="9" t="s">
        <v>41</v>
      </c>
      <c r="H63" s="5" t="str">
        <f t="shared" si="1"/>
        <v>09004</v>
      </c>
    </row>
    <row r="64" spans="1:8" hidden="1">
      <c r="A64" s="1">
        <v>19623</v>
      </c>
      <c r="B64" s="2">
        <v>210260.008959</v>
      </c>
      <c r="C64" s="3">
        <v>210260.008959</v>
      </c>
      <c r="D64">
        <f t="shared" si="0"/>
        <v>1</v>
      </c>
      <c r="E64" s="5">
        <v>39448</v>
      </c>
      <c r="F64" s="9" t="s">
        <v>14</v>
      </c>
      <c r="G64" s="9" t="s">
        <v>30</v>
      </c>
      <c r="H64" s="5" t="str">
        <f t="shared" si="1"/>
        <v>09008</v>
      </c>
    </row>
    <row r="65" spans="1:8" hidden="1">
      <c r="A65" s="1">
        <v>19623</v>
      </c>
      <c r="B65" s="2">
        <v>373501.54171700001</v>
      </c>
      <c r="C65" s="3">
        <v>2096254.8787700001</v>
      </c>
      <c r="D65">
        <f t="shared" si="0"/>
        <v>0.17817563384093638</v>
      </c>
      <c r="E65" s="5">
        <v>39088</v>
      </c>
      <c r="F65" s="9" t="s">
        <v>14</v>
      </c>
      <c r="G65" s="9" t="s">
        <v>25</v>
      </c>
      <c r="H65" s="5" t="str">
        <f t="shared" si="1"/>
        <v>09010</v>
      </c>
    </row>
    <row r="66" spans="1:8" hidden="1">
      <c r="A66" s="1">
        <v>19623</v>
      </c>
      <c r="B66" s="2">
        <v>754999.936889</v>
      </c>
      <c r="C66" s="3">
        <v>2096254.8787700001</v>
      </c>
      <c r="D66">
        <f t="shared" si="0"/>
        <v>0.36016609646819486</v>
      </c>
      <c r="E66" s="5">
        <v>39276</v>
      </c>
      <c r="F66" s="9" t="s">
        <v>14</v>
      </c>
      <c r="G66" s="9" t="s">
        <v>25</v>
      </c>
      <c r="H66" s="5" t="str">
        <f t="shared" si="1"/>
        <v>09010</v>
      </c>
    </row>
    <row r="67" spans="1:8" hidden="1">
      <c r="A67" s="1">
        <v>19623</v>
      </c>
      <c r="B67" s="2">
        <v>395293.42723600002</v>
      </c>
      <c r="C67" s="3">
        <v>2096254.8787700001</v>
      </c>
      <c r="D67">
        <f t="shared" ref="D67:D130" si="2">B67/C67</f>
        <v>0.18857126165304033</v>
      </c>
      <c r="E67" s="5">
        <v>39448</v>
      </c>
      <c r="F67" s="9" t="s">
        <v>14</v>
      </c>
      <c r="G67" s="9" t="s">
        <v>25</v>
      </c>
      <c r="H67" s="5" t="str">
        <f t="shared" ref="H67:H130" si="3">F67&amp;G67</f>
        <v>09010</v>
      </c>
    </row>
    <row r="68" spans="1:8" hidden="1">
      <c r="A68" s="1">
        <v>19624</v>
      </c>
      <c r="B68" s="2">
        <v>357527.83785299998</v>
      </c>
      <c r="C68" s="3">
        <v>6709873.2092700005</v>
      </c>
      <c r="D68">
        <f t="shared" si="2"/>
        <v>5.3283844076078626E-2</v>
      </c>
      <c r="E68" s="5">
        <v>39221</v>
      </c>
      <c r="F68" s="9" t="s">
        <v>14</v>
      </c>
      <c r="G68" s="9" t="s">
        <v>34</v>
      </c>
      <c r="H68" s="5" t="str">
        <f t="shared" si="3"/>
        <v>09003</v>
      </c>
    </row>
    <row r="69" spans="1:8" hidden="1">
      <c r="A69" s="1">
        <v>19624</v>
      </c>
      <c r="B69" s="2">
        <v>6352345.3714199997</v>
      </c>
      <c r="C69" s="3">
        <v>6709873.2092700005</v>
      </c>
      <c r="D69">
        <f t="shared" si="2"/>
        <v>0.94671615592436842</v>
      </c>
      <c r="E69" s="5">
        <v>39383</v>
      </c>
      <c r="F69" s="9" t="s">
        <v>14</v>
      </c>
      <c r="G69" s="9" t="s">
        <v>34</v>
      </c>
      <c r="H69" s="5" t="str">
        <f t="shared" si="3"/>
        <v>09003</v>
      </c>
    </row>
    <row r="70" spans="1:8" hidden="1">
      <c r="A70" s="1">
        <v>19624</v>
      </c>
      <c r="B70" s="2">
        <v>319.18574344400002</v>
      </c>
      <c r="C70" s="3">
        <v>2096254.8787700001</v>
      </c>
      <c r="D70">
        <f t="shared" si="2"/>
        <v>1.5226475877364953E-4</v>
      </c>
      <c r="E70" s="5">
        <v>39221</v>
      </c>
      <c r="F70" s="9" t="s">
        <v>14</v>
      </c>
      <c r="G70" s="9" t="s">
        <v>25</v>
      </c>
      <c r="H70" s="5" t="str">
        <f t="shared" si="3"/>
        <v>09010</v>
      </c>
    </row>
    <row r="71" spans="1:8" hidden="1">
      <c r="A71" s="1">
        <v>19624</v>
      </c>
      <c r="B71" s="2">
        <v>472351.204448</v>
      </c>
      <c r="C71" s="3">
        <v>2096254.8787700001</v>
      </c>
      <c r="D71">
        <f t="shared" si="2"/>
        <v>0.2253309982635113</v>
      </c>
      <c r="E71" s="5">
        <v>39276</v>
      </c>
      <c r="F71" s="9" t="s">
        <v>14</v>
      </c>
      <c r="G71" s="9" t="s">
        <v>25</v>
      </c>
      <c r="H71" s="5" t="str">
        <f t="shared" si="3"/>
        <v>09010</v>
      </c>
    </row>
    <row r="72" spans="1:8" hidden="1">
      <c r="A72" s="1">
        <v>19624</v>
      </c>
      <c r="B72" s="2">
        <v>99789.582729700007</v>
      </c>
      <c r="C72" s="3">
        <v>2096254.8787700001</v>
      </c>
      <c r="D72">
        <f t="shared" si="2"/>
        <v>4.7603745012272845E-2</v>
      </c>
      <c r="E72" s="5">
        <v>39383</v>
      </c>
      <c r="F72" s="9" t="s">
        <v>14</v>
      </c>
      <c r="G72" s="9" t="s">
        <v>25</v>
      </c>
      <c r="H72" s="5" t="str">
        <f t="shared" si="3"/>
        <v>09010</v>
      </c>
    </row>
    <row r="73" spans="1:8" hidden="1">
      <c r="A73" s="1">
        <v>19625</v>
      </c>
      <c r="B73" s="2">
        <v>894108.204333</v>
      </c>
      <c r="C73" s="3">
        <v>1846418.4555200001</v>
      </c>
      <c r="D73">
        <f t="shared" si="2"/>
        <v>0.48423920463966308</v>
      </c>
      <c r="E73" s="5">
        <v>39282</v>
      </c>
      <c r="F73" s="9" t="s">
        <v>14</v>
      </c>
      <c r="G73" s="9" t="s">
        <v>42</v>
      </c>
      <c r="H73" s="5" t="str">
        <f t="shared" si="3"/>
        <v>09007</v>
      </c>
    </row>
    <row r="74" spans="1:8" hidden="1">
      <c r="A74" s="1">
        <v>19626</v>
      </c>
      <c r="B74" s="2">
        <v>952310.25118699996</v>
      </c>
      <c r="C74" s="3">
        <v>1846418.4555200001</v>
      </c>
      <c r="D74">
        <f t="shared" si="2"/>
        <v>0.51576079536033681</v>
      </c>
      <c r="E74" s="5">
        <v>39520</v>
      </c>
      <c r="F74" s="9" t="s">
        <v>14</v>
      </c>
      <c r="G74" s="9" t="s">
        <v>42</v>
      </c>
      <c r="H74" s="5" t="str">
        <f t="shared" si="3"/>
        <v>09007</v>
      </c>
    </row>
    <row r="75" spans="1:8" hidden="1">
      <c r="A75" s="1">
        <v>19626</v>
      </c>
      <c r="B75" s="2">
        <v>19464.500374899999</v>
      </c>
      <c r="C75" s="3">
        <v>125258.68854800001</v>
      </c>
      <c r="D75">
        <f t="shared" si="2"/>
        <v>0.15539441295875508</v>
      </c>
      <c r="E75" s="5">
        <v>39520</v>
      </c>
      <c r="F75" s="9" t="s">
        <v>14</v>
      </c>
      <c r="G75" s="9" t="s">
        <v>39</v>
      </c>
      <c r="H75" s="5" t="str">
        <f t="shared" si="3"/>
        <v>09011</v>
      </c>
    </row>
    <row r="76" spans="1:8" hidden="1">
      <c r="A76" s="1">
        <v>19627</v>
      </c>
      <c r="B76" s="2">
        <v>390269.41233100003</v>
      </c>
      <c r="C76" s="3">
        <v>16208654.4267</v>
      </c>
      <c r="D76">
        <f t="shared" si="2"/>
        <v>2.4077841507196406E-2</v>
      </c>
      <c r="E76" s="5">
        <v>39239</v>
      </c>
      <c r="F76" s="9" t="s">
        <v>13</v>
      </c>
      <c r="G76" s="9" t="s">
        <v>43</v>
      </c>
      <c r="H76" s="5" t="str">
        <f t="shared" si="3"/>
        <v>15039</v>
      </c>
    </row>
    <row r="77" spans="1:8" hidden="1">
      <c r="A77" s="1">
        <v>19627</v>
      </c>
      <c r="B77" s="2">
        <v>536695.429978</v>
      </c>
      <c r="C77" s="3">
        <v>16208654.4267</v>
      </c>
      <c r="D77">
        <f t="shared" si="2"/>
        <v>3.3111658491152648E-2</v>
      </c>
      <c r="E77" s="5">
        <v>39263</v>
      </c>
      <c r="F77" s="9" t="s">
        <v>13</v>
      </c>
      <c r="G77" s="9" t="s">
        <v>43</v>
      </c>
      <c r="H77" s="5" t="str">
        <f t="shared" si="3"/>
        <v>15039</v>
      </c>
    </row>
    <row r="78" spans="1:8" hidden="1">
      <c r="A78" s="1">
        <v>19627</v>
      </c>
      <c r="B78" s="2">
        <v>36819.592151800003</v>
      </c>
      <c r="C78" s="3">
        <v>36819.592151800003</v>
      </c>
      <c r="D78">
        <f t="shared" si="2"/>
        <v>1</v>
      </c>
      <c r="E78" s="5">
        <v>39263</v>
      </c>
      <c r="F78" s="9" t="s">
        <v>13</v>
      </c>
      <c r="G78" s="9" t="s">
        <v>44</v>
      </c>
      <c r="H78" s="5" t="str">
        <f t="shared" si="3"/>
        <v>15070</v>
      </c>
    </row>
    <row r="79" spans="1:8" hidden="1">
      <c r="A79" s="1">
        <v>19628</v>
      </c>
      <c r="B79" s="2">
        <v>8595.7937136599994</v>
      </c>
      <c r="C79" s="3">
        <v>805533.69687800005</v>
      </c>
      <c r="D79">
        <f t="shared" si="2"/>
        <v>1.0670930026856285E-2</v>
      </c>
      <c r="E79" s="5">
        <v>39473</v>
      </c>
      <c r="F79" s="9" t="s">
        <v>13</v>
      </c>
      <c r="G79" s="9" t="s">
        <v>40</v>
      </c>
      <c r="H79" s="5" t="str">
        <f t="shared" si="3"/>
        <v>15025</v>
      </c>
    </row>
    <row r="80" spans="1:8" hidden="1">
      <c r="A80" s="1">
        <v>19628</v>
      </c>
      <c r="B80" s="2">
        <v>128864.011881</v>
      </c>
      <c r="C80" s="3">
        <v>805533.69687800005</v>
      </c>
      <c r="D80">
        <f t="shared" si="2"/>
        <v>0.15997345906252852</v>
      </c>
      <c r="E80" s="5">
        <v>39588</v>
      </c>
      <c r="F80" s="9" t="s">
        <v>13</v>
      </c>
      <c r="G80" s="9" t="s">
        <v>40</v>
      </c>
      <c r="H80" s="5" t="str">
        <f t="shared" si="3"/>
        <v>15025</v>
      </c>
    </row>
    <row r="81" spans="1:8" hidden="1">
      <c r="A81" s="1">
        <v>19628</v>
      </c>
      <c r="B81" s="2">
        <v>30012.195511400001</v>
      </c>
      <c r="C81" s="3">
        <v>16208654.4267</v>
      </c>
      <c r="D81">
        <f t="shared" si="2"/>
        <v>1.8516154840072269E-3</v>
      </c>
      <c r="E81" s="5">
        <v>38955</v>
      </c>
      <c r="F81" s="9" t="s">
        <v>13</v>
      </c>
      <c r="G81" s="9" t="s">
        <v>43</v>
      </c>
      <c r="H81" s="5" t="str">
        <f t="shared" si="3"/>
        <v>15039</v>
      </c>
    </row>
    <row r="82" spans="1:8" hidden="1">
      <c r="A82" s="1">
        <v>19628</v>
      </c>
      <c r="B82" s="2">
        <v>2010618.37341</v>
      </c>
      <c r="C82" s="3">
        <v>16208654.4267</v>
      </c>
      <c r="D82">
        <f t="shared" si="2"/>
        <v>0.12404597695031196</v>
      </c>
      <c r="E82" s="5">
        <v>39098</v>
      </c>
      <c r="F82" s="9" t="s">
        <v>13</v>
      </c>
      <c r="G82" s="9" t="s">
        <v>43</v>
      </c>
      <c r="H82" s="5" t="str">
        <f t="shared" si="3"/>
        <v>15039</v>
      </c>
    </row>
    <row r="83" spans="1:8" hidden="1">
      <c r="A83" s="1">
        <v>19628</v>
      </c>
      <c r="B83" s="2">
        <v>397827.95256499999</v>
      </c>
      <c r="C83" s="3">
        <v>16208654.4267</v>
      </c>
      <c r="D83">
        <f t="shared" si="2"/>
        <v>2.4544168941603856E-2</v>
      </c>
      <c r="E83" s="5">
        <v>39239</v>
      </c>
      <c r="F83" s="9" t="s">
        <v>13</v>
      </c>
      <c r="G83" s="9" t="s">
        <v>43</v>
      </c>
      <c r="H83" s="5" t="str">
        <f t="shared" si="3"/>
        <v>15039</v>
      </c>
    </row>
    <row r="84" spans="1:8" hidden="1">
      <c r="A84" s="1">
        <v>19628</v>
      </c>
      <c r="B84" s="2">
        <v>1576667.7678400001</v>
      </c>
      <c r="C84" s="3">
        <v>16208654.4267</v>
      </c>
      <c r="D84">
        <f t="shared" si="2"/>
        <v>9.7273205186163114E-2</v>
      </c>
      <c r="E84" s="5">
        <v>39245</v>
      </c>
      <c r="F84" s="9" t="s">
        <v>13</v>
      </c>
      <c r="G84" s="9" t="s">
        <v>43</v>
      </c>
      <c r="H84" s="5" t="str">
        <f t="shared" si="3"/>
        <v>15039</v>
      </c>
    </row>
    <row r="85" spans="1:8" hidden="1">
      <c r="A85" s="1">
        <v>19628</v>
      </c>
      <c r="B85" s="2">
        <v>741619.558326</v>
      </c>
      <c r="C85" s="3">
        <v>16208654.4267</v>
      </c>
      <c r="D85">
        <f t="shared" si="2"/>
        <v>4.5754541913383864E-2</v>
      </c>
      <c r="E85" s="5">
        <v>39347</v>
      </c>
      <c r="F85" s="9" t="s">
        <v>13</v>
      </c>
      <c r="G85" s="9" t="s">
        <v>43</v>
      </c>
      <c r="H85" s="5" t="str">
        <f t="shared" si="3"/>
        <v>15039</v>
      </c>
    </row>
    <row r="86" spans="1:8" hidden="1">
      <c r="A86" s="1">
        <v>19628</v>
      </c>
      <c r="B86" s="2">
        <v>1934375.09791</v>
      </c>
      <c r="C86" s="3">
        <v>16208654.4267</v>
      </c>
      <c r="D86">
        <f t="shared" si="2"/>
        <v>0.11934211483487275</v>
      </c>
      <c r="E86" s="5">
        <v>39396</v>
      </c>
      <c r="F86" s="9" t="s">
        <v>13</v>
      </c>
      <c r="G86" s="9" t="s">
        <v>43</v>
      </c>
      <c r="H86" s="5" t="str">
        <f t="shared" si="3"/>
        <v>15039</v>
      </c>
    </row>
    <row r="87" spans="1:8" hidden="1">
      <c r="A87" s="1">
        <v>19628</v>
      </c>
      <c r="B87" s="2">
        <v>606563.36624600005</v>
      </c>
      <c r="C87" s="3">
        <v>16208654.4267</v>
      </c>
      <c r="D87">
        <f t="shared" si="2"/>
        <v>3.7422191273744944E-2</v>
      </c>
      <c r="E87" s="5">
        <v>39473</v>
      </c>
      <c r="F87" s="9" t="s">
        <v>13</v>
      </c>
      <c r="G87" s="9" t="s">
        <v>43</v>
      </c>
      <c r="H87" s="5" t="str">
        <f t="shared" si="3"/>
        <v>15039</v>
      </c>
    </row>
    <row r="88" spans="1:8" hidden="1">
      <c r="A88" s="1">
        <v>19628</v>
      </c>
      <c r="B88" s="2">
        <v>656690.54579200002</v>
      </c>
      <c r="C88" s="3">
        <v>16208654.4267</v>
      </c>
      <c r="D88">
        <f t="shared" si="2"/>
        <v>4.0514809465630575E-2</v>
      </c>
      <c r="E88" s="5">
        <v>39519</v>
      </c>
      <c r="F88" s="9" t="s">
        <v>13</v>
      </c>
      <c r="G88" s="9" t="s">
        <v>43</v>
      </c>
      <c r="H88" s="5" t="str">
        <f t="shared" si="3"/>
        <v>15039</v>
      </c>
    </row>
    <row r="89" spans="1:8" hidden="1">
      <c r="A89" s="1">
        <v>19628</v>
      </c>
      <c r="B89" s="2">
        <v>5931.6749047800004</v>
      </c>
      <c r="C89" s="3">
        <v>16208654.4267</v>
      </c>
      <c r="D89">
        <f t="shared" si="2"/>
        <v>3.6595726879147609E-4</v>
      </c>
      <c r="E89" s="5">
        <v>39588</v>
      </c>
      <c r="F89" s="9" t="s">
        <v>13</v>
      </c>
      <c r="G89" s="9" t="s">
        <v>43</v>
      </c>
      <c r="H89" s="5" t="str">
        <f t="shared" si="3"/>
        <v>15039</v>
      </c>
    </row>
    <row r="90" spans="1:8" hidden="1">
      <c r="A90" s="1">
        <v>19629</v>
      </c>
      <c r="B90" s="2">
        <v>16930.564079</v>
      </c>
      <c r="C90" s="3">
        <v>805533.69687800005</v>
      </c>
      <c r="D90">
        <f t="shared" si="2"/>
        <v>2.1017822276855256E-2</v>
      </c>
      <c r="E90" s="5">
        <v>39473</v>
      </c>
      <c r="F90" s="9" t="s">
        <v>13</v>
      </c>
      <c r="G90" s="9" t="s">
        <v>40</v>
      </c>
      <c r="H90" s="5" t="str">
        <f t="shared" si="3"/>
        <v>15025</v>
      </c>
    </row>
    <row r="91" spans="1:8" hidden="1">
      <c r="A91" s="1">
        <v>19629</v>
      </c>
      <c r="B91" s="2">
        <v>362273.65928899997</v>
      </c>
      <c r="C91" s="3">
        <v>805533.69687800005</v>
      </c>
      <c r="D91">
        <f t="shared" si="2"/>
        <v>0.44973122874072291</v>
      </c>
      <c r="E91" s="5">
        <v>39588</v>
      </c>
      <c r="F91" s="9" t="s">
        <v>13</v>
      </c>
      <c r="G91" s="9" t="s">
        <v>40</v>
      </c>
      <c r="H91" s="5" t="str">
        <f t="shared" si="3"/>
        <v>15025</v>
      </c>
    </row>
    <row r="92" spans="1:8" hidden="1">
      <c r="A92" s="1">
        <v>19629</v>
      </c>
      <c r="B92" s="2">
        <v>282052.53350600001</v>
      </c>
      <c r="C92" s="3">
        <v>16208654.4267</v>
      </c>
      <c r="D92">
        <f t="shared" si="2"/>
        <v>1.7401353997737398E-2</v>
      </c>
      <c r="E92" s="5">
        <v>38955</v>
      </c>
      <c r="F92" s="9" t="s">
        <v>13</v>
      </c>
      <c r="G92" s="9" t="s">
        <v>43</v>
      </c>
      <c r="H92" s="5" t="str">
        <f t="shared" si="3"/>
        <v>15039</v>
      </c>
    </row>
    <row r="93" spans="1:8" hidden="1">
      <c r="A93" s="1">
        <v>19629</v>
      </c>
      <c r="B93" s="2">
        <v>84675.973671900007</v>
      </c>
      <c r="C93" s="3">
        <v>16208654.4267</v>
      </c>
      <c r="D93">
        <f t="shared" si="2"/>
        <v>5.2241211048596348E-3</v>
      </c>
      <c r="E93" s="5">
        <v>39098</v>
      </c>
      <c r="F93" s="9" t="s">
        <v>13</v>
      </c>
      <c r="G93" s="9" t="s">
        <v>43</v>
      </c>
      <c r="H93" s="5" t="str">
        <f t="shared" si="3"/>
        <v>15039</v>
      </c>
    </row>
    <row r="94" spans="1:8" hidden="1">
      <c r="A94" s="1">
        <v>19629</v>
      </c>
      <c r="B94" s="2">
        <v>271935.58639499999</v>
      </c>
      <c r="C94" s="3">
        <v>16208654.4267</v>
      </c>
      <c r="D94">
        <f t="shared" si="2"/>
        <v>1.677718453587666E-2</v>
      </c>
      <c r="E94" s="5">
        <v>39245</v>
      </c>
      <c r="F94" s="9" t="s">
        <v>13</v>
      </c>
      <c r="G94" s="9" t="s">
        <v>43</v>
      </c>
      <c r="H94" s="5" t="str">
        <f t="shared" si="3"/>
        <v>15039</v>
      </c>
    </row>
    <row r="95" spans="1:8" hidden="1">
      <c r="A95" s="1">
        <v>19629</v>
      </c>
      <c r="B95" s="2">
        <v>128537.310379</v>
      </c>
      <c r="C95" s="3">
        <v>16208654.4267</v>
      </c>
      <c r="D95">
        <f t="shared" si="2"/>
        <v>7.9301653915987372E-3</v>
      </c>
      <c r="E95" s="5">
        <v>39347</v>
      </c>
      <c r="F95" s="9" t="s">
        <v>13</v>
      </c>
      <c r="G95" s="9" t="s">
        <v>43</v>
      </c>
      <c r="H95" s="5" t="str">
        <f t="shared" si="3"/>
        <v>15039</v>
      </c>
    </row>
    <row r="96" spans="1:8" hidden="1">
      <c r="A96" s="1">
        <v>19629</v>
      </c>
      <c r="B96" s="2">
        <v>407158.39073899999</v>
      </c>
      <c r="C96" s="3">
        <v>16208654.4267</v>
      </c>
      <c r="D96">
        <f t="shared" si="2"/>
        <v>2.5119814391767213E-2</v>
      </c>
      <c r="E96" s="5">
        <v>39396</v>
      </c>
      <c r="F96" s="9" t="s">
        <v>13</v>
      </c>
      <c r="G96" s="9" t="s">
        <v>43</v>
      </c>
      <c r="H96" s="5" t="str">
        <f t="shared" si="3"/>
        <v>15039</v>
      </c>
    </row>
    <row r="97" spans="1:8" hidden="1">
      <c r="A97" s="1">
        <v>19629</v>
      </c>
      <c r="B97" s="2">
        <v>1149494.36641</v>
      </c>
      <c r="C97" s="3">
        <v>16208654.4267</v>
      </c>
      <c r="D97">
        <f t="shared" si="2"/>
        <v>7.0918555985527987E-2</v>
      </c>
      <c r="E97" s="5">
        <v>39473</v>
      </c>
      <c r="F97" s="9" t="s">
        <v>13</v>
      </c>
      <c r="G97" s="9" t="s">
        <v>43</v>
      </c>
      <c r="H97" s="5" t="str">
        <f t="shared" si="3"/>
        <v>15039</v>
      </c>
    </row>
    <row r="98" spans="1:8" hidden="1">
      <c r="A98" s="1">
        <v>19629</v>
      </c>
      <c r="B98" s="2">
        <v>46117.247644199997</v>
      </c>
      <c r="C98" s="3">
        <v>16208654.4267</v>
      </c>
      <c r="D98">
        <f t="shared" si="2"/>
        <v>2.8452236953261539E-3</v>
      </c>
      <c r="E98" s="5">
        <v>39588</v>
      </c>
      <c r="F98" s="9" t="s">
        <v>13</v>
      </c>
      <c r="G98" s="9" t="s">
        <v>43</v>
      </c>
      <c r="H98" s="5" t="str">
        <f t="shared" si="3"/>
        <v>15039</v>
      </c>
    </row>
    <row r="99" spans="1:8" hidden="1">
      <c r="A99" s="1">
        <v>19630</v>
      </c>
      <c r="B99" s="2">
        <v>656884.26199000003</v>
      </c>
      <c r="C99" s="3">
        <v>16208654.4267</v>
      </c>
      <c r="D99">
        <f t="shared" si="2"/>
        <v>4.0526760870904593E-2</v>
      </c>
      <c r="E99" s="5">
        <v>39291</v>
      </c>
      <c r="F99" s="9" t="s">
        <v>13</v>
      </c>
      <c r="G99" s="9" t="s">
        <v>43</v>
      </c>
      <c r="H99" s="5" t="str">
        <f t="shared" si="3"/>
        <v>15039</v>
      </c>
    </row>
    <row r="100" spans="1:8" hidden="1">
      <c r="A100" s="1">
        <v>19633</v>
      </c>
      <c r="B100" s="2">
        <v>715038.02099700004</v>
      </c>
      <c r="C100" s="3">
        <v>715038.02099700004</v>
      </c>
      <c r="D100">
        <f t="shared" si="2"/>
        <v>1</v>
      </c>
      <c r="E100" s="5">
        <v>39119</v>
      </c>
      <c r="F100" s="9" t="s">
        <v>15</v>
      </c>
      <c r="G100" s="9" t="s">
        <v>36</v>
      </c>
      <c r="H100" s="5" t="str">
        <f t="shared" si="3"/>
        <v>29015</v>
      </c>
    </row>
    <row r="101" spans="1:8" hidden="1">
      <c r="A101" s="1">
        <v>19964</v>
      </c>
      <c r="B101" s="2">
        <v>3021093.4048600001</v>
      </c>
      <c r="C101" s="3">
        <v>3354267.5773399998</v>
      </c>
      <c r="D101">
        <f t="shared" si="2"/>
        <v>0.90067155800843612</v>
      </c>
      <c r="E101" s="5">
        <v>38497</v>
      </c>
      <c r="F101" s="9" t="s">
        <v>16</v>
      </c>
      <c r="G101" s="9" t="s">
        <v>45</v>
      </c>
      <c r="H101" s="5" t="str">
        <f t="shared" si="3"/>
        <v>16112</v>
      </c>
    </row>
    <row r="102" spans="1:8" hidden="1">
      <c r="A102" s="1">
        <v>19964</v>
      </c>
      <c r="B102" s="2">
        <v>333174.17248100002</v>
      </c>
      <c r="C102" s="3">
        <v>3354267.5773399998</v>
      </c>
      <c r="D102">
        <f t="shared" si="2"/>
        <v>9.932844199186211E-2</v>
      </c>
      <c r="E102" s="5">
        <v>38716</v>
      </c>
      <c r="F102" s="9" t="s">
        <v>16</v>
      </c>
      <c r="G102" s="9" t="s">
        <v>45</v>
      </c>
      <c r="H102" s="5" t="str">
        <f t="shared" si="3"/>
        <v>16112</v>
      </c>
    </row>
    <row r="103" spans="1:8" hidden="1">
      <c r="A103" s="1">
        <v>19966</v>
      </c>
      <c r="B103" s="2">
        <v>1663570.2</v>
      </c>
      <c r="C103" s="3">
        <v>1773168.0636700001</v>
      </c>
      <c r="D103">
        <f t="shared" si="2"/>
        <v>0.9381909329885173</v>
      </c>
      <c r="E103" s="5">
        <v>38878</v>
      </c>
      <c r="F103" s="9" t="s">
        <v>13</v>
      </c>
      <c r="G103" s="9" t="s">
        <v>46</v>
      </c>
      <c r="H103" s="5" t="str">
        <f t="shared" si="3"/>
        <v>15111</v>
      </c>
    </row>
    <row r="104" spans="1:8" hidden="1">
      <c r="A104" s="1">
        <v>19967</v>
      </c>
      <c r="B104" s="2">
        <v>109597.86367000001</v>
      </c>
      <c r="C104" s="3">
        <v>1773168.0636700001</v>
      </c>
      <c r="D104">
        <f t="shared" si="2"/>
        <v>6.1809067011482671E-2</v>
      </c>
      <c r="E104" s="5">
        <v>38878</v>
      </c>
      <c r="F104" s="9" t="s">
        <v>13</v>
      </c>
      <c r="G104" s="9" t="s">
        <v>46</v>
      </c>
      <c r="H104" s="5" t="str">
        <f t="shared" si="3"/>
        <v>15111</v>
      </c>
    </row>
    <row r="105" spans="1:8" hidden="1">
      <c r="A105" s="1">
        <v>19976</v>
      </c>
      <c r="B105" s="2">
        <v>775724.09808499995</v>
      </c>
      <c r="C105" s="3">
        <v>1890352.65806</v>
      </c>
      <c r="D105">
        <f t="shared" si="2"/>
        <v>0.41035946111827476</v>
      </c>
      <c r="E105" s="5">
        <v>38601</v>
      </c>
      <c r="F105" s="9" t="s">
        <v>13</v>
      </c>
      <c r="G105" s="9" t="s">
        <v>47</v>
      </c>
      <c r="H105" s="5" t="str">
        <f t="shared" si="3"/>
        <v>15057</v>
      </c>
    </row>
    <row r="106" spans="1:8" hidden="1">
      <c r="A106" s="1">
        <v>19977</v>
      </c>
      <c r="B106" s="2">
        <v>387925.044994</v>
      </c>
      <c r="C106" s="3">
        <v>6841579.3668499999</v>
      </c>
      <c r="D106">
        <f t="shared" si="2"/>
        <v>5.6701095491728318E-2</v>
      </c>
      <c r="E106" s="5">
        <v>38416</v>
      </c>
      <c r="F106" s="9" t="s">
        <v>14</v>
      </c>
      <c r="G106" s="9" t="s">
        <v>48</v>
      </c>
      <c r="H106" s="5" t="str">
        <f t="shared" si="3"/>
        <v>09016</v>
      </c>
    </row>
    <row r="107" spans="1:8" hidden="1">
      <c r="A107" s="1">
        <v>19977</v>
      </c>
      <c r="B107" s="2">
        <v>484545.946528</v>
      </c>
      <c r="C107" s="3">
        <v>6841579.3668499999</v>
      </c>
      <c r="D107">
        <f t="shared" si="2"/>
        <v>7.0823697357923751E-2</v>
      </c>
      <c r="E107" s="5">
        <v>38486</v>
      </c>
      <c r="F107" s="9" t="s">
        <v>14</v>
      </c>
      <c r="G107" s="9" t="s">
        <v>48</v>
      </c>
      <c r="H107" s="5" t="str">
        <f t="shared" si="3"/>
        <v>09016</v>
      </c>
    </row>
    <row r="108" spans="1:8" hidden="1">
      <c r="A108" s="1">
        <v>19977</v>
      </c>
      <c r="B108" s="2">
        <v>5693634.6516000004</v>
      </c>
      <c r="C108" s="3">
        <v>6841579.3668499999</v>
      </c>
      <c r="D108">
        <f t="shared" si="2"/>
        <v>0.83221056810183058</v>
      </c>
      <c r="E108" s="5">
        <v>38703</v>
      </c>
      <c r="F108" s="9" t="s">
        <v>14</v>
      </c>
      <c r="G108" s="9" t="s">
        <v>48</v>
      </c>
      <c r="H108" s="5" t="str">
        <f t="shared" si="3"/>
        <v>09016</v>
      </c>
    </row>
    <row r="109" spans="1:8" hidden="1">
      <c r="A109" s="1">
        <v>19977</v>
      </c>
      <c r="B109" s="2">
        <v>1114628.5599700001</v>
      </c>
      <c r="C109" s="3">
        <v>1890352.65806</v>
      </c>
      <c r="D109">
        <f t="shared" si="2"/>
        <v>0.58964053887908019</v>
      </c>
      <c r="E109" s="5">
        <v>38601</v>
      </c>
      <c r="F109" s="9" t="s">
        <v>13</v>
      </c>
      <c r="G109" s="9" t="s">
        <v>47</v>
      </c>
      <c r="H109" s="5" t="str">
        <f t="shared" si="3"/>
        <v>15057</v>
      </c>
    </row>
    <row r="110" spans="1:8" hidden="1">
      <c r="A110" s="1">
        <v>19978</v>
      </c>
      <c r="B110" s="2">
        <v>654843.71396099997</v>
      </c>
      <c r="C110" s="3">
        <v>5263168.6925799996</v>
      </c>
      <c r="D110">
        <f t="shared" si="2"/>
        <v>0.12442005039363394</v>
      </c>
      <c r="E110" s="5">
        <v>38404</v>
      </c>
      <c r="F110" s="9" t="s">
        <v>14</v>
      </c>
      <c r="G110" s="9" t="s">
        <v>49</v>
      </c>
      <c r="H110" s="5" t="str">
        <f t="shared" si="3"/>
        <v>09005</v>
      </c>
    </row>
    <row r="111" spans="1:8" hidden="1">
      <c r="A111" s="1">
        <v>19979</v>
      </c>
      <c r="B111" s="2">
        <v>119497.87339199999</v>
      </c>
      <c r="C111" s="3">
        <v>5263168.6925799996</v>
      </c>
      <c r="D111">
        <f t="shared" si="2"/>
        <v>2.2704549364049031E-2</v>
      </c>
      <c r="E111" s="5">
        <v>38404</v>
      </c>
      <c r="F111" s="9" t="s">
        <v>14</v>
      </c>
      <c r="G111" s="9" t="s">
        <v>49</v>
      </c>
      <c r="H111" s="5" t="str">
        <f t="shared" si="3"/>
        <v>09005</v>
      </c>
    </row>
    <row r="112" spans="1:8" hidden="1">
      <c r="A112" s="1">
        <v>19979</v>
      </c>
      <c r="B112" s="2">
        <v>568.50679830499996</v>
      </c>
      <c r="C112" s="3">
        <v>8633.8594791199994</v>
      </c>
      <c r="D112">
        <f t="shared" si="2"/>
        <v>6.5846195398462135E-2</v>
      </c>
      <c r="E112" s="5">
        <v>38404</v>
      </c>
      <c r="F112" s="9" t="s">
        <v>13</v>
      </c>
      <c r="G112" s="9" t="s">
        <v>50</v>
      </c>
      <c r="H112" s="5" t="str">
        <f t="shared" si="3"/>
        <v>15058</v>
      </c>
    </row>
    <row r="113" spans="1:8" hidden="1">
      <c r="A113" s="1">
        <v>19981</v>
      </c>
      <c r="B113" s="2">
        <v>1058736.2040899999</v>
      </c>
      <c r="C113" s="3">
        <v>1078178.95086</v>
      </c>
      <c r="D113">
        <f t="shared" si="2"/>
        <v>0.98196705031711873</v>
      </c>
      <c r="E113" s="5">
        <v>38797</v>
      </c>
      <c r="F113" s="9" t="s">
        <v>13</v>
      </c>
      <c r="G113" s="9" t="s">
        <v>51</v>
      </c>
      <c r="H113" s="5" t="str">
        <f t="shared" si="3"/>
        <v>15029</v>
      </c>
    </row>
    <row r="114" spans="1:8" hidden="1">
      <c r="A114" s="1">
        <v>19981</v>
      </c>
      <c r="B114" s="2">
        <v>19442.746767100001</v>
      </c>
      <c r="C114" s="3">
        <v>1078178.95086</v>
      </c>
      <c r="D114">
        <f t="shared" si="2"/>
        <v>1.8032949680191462E-2</v>
      </c>
      <c r="E114" s="5">
        <v>38934</v>
      </c>
      <c r="F114" s="9" t="s">
        <v>13</v>
      </c>
      <c r="G114" s="9" t="s">
        <v>51</v>
      </c>
      <c r="H114" s="5" t="str">
        <f t="shared" si="3"/>
        <v>15029</v>
      </c>
    </row>
    <row r="115" spans="1:8" hidden="1">
      <c r="A115" s="1">
        <v>19981</v>
      </c>
      <c r="B115" s="2">
        <v>825052.167044</v>
      </c>
      <c r="C115" s="3">
        <v>16208654.4267</v>
      </c>
      <c r="D115">
        <f t="shared" si="2"/>
        <v>5.0901953075445788E-2</v>
      </c>
      <c r="E115" s="5">
        <v>38934</v>
      </c>
      <c r="F115" s="9" t="s">
        <v>13</v>
      </c>
      <c r="G115" s="9" t="s">
        <v>43</v>
      </c>
      <c r="H115" s="5" t="str">
        <f t="shared" si="3"/>
        <v>15039</v>
      </c>
    </row>
    <row r="116" spans="1:8" hidden="1">
      <c r="A116" s="1">
        <v>19981</v>
      </c>
      <c r="B116" s="2">
        <v>110958.62648599999</v>
      </c>
      <c r="C116" s="3">
        <v>16208654.4267</v>
      </c>
      <c r="D116">
        <f t="shared" si="2"/>
        <v>6.8456408264970714E-3</v>
      </c>
      <c r="E116" s="5">
        <v>38955</v>
      </c>
      <c r="F116" s="9" t="s">
        <v>13</v>
      </c>
      <c r="G116" s="9" t="s">
        <v>43</v>
      </c>
      <c r="H116" s="5" t="str">
        <f t="shared" si="3"/>
        <v>15039</v>
      </c>
    </row>
    <row r="117" spans="1:8" hidden="1">
      <c r="A117" s="1">
        <v>19981</v>
      </c>
      <c r="B117" s="2">
        <v>3547872.3591300002</v>
      </c>
      <c r="C117" s="3">
        <v>10754888.582699999</v>
      </c>
      <c r="D117">
        <f t="shared" si="2"/>
        <v>0.32988462240668903</v>
      </c>
      <c r="E117" s="5">
        <v>38299</v>
      </c>
      <c r="F117" s="9" t="s">
        <v>13</v>
      </c>
      <c r="G117" s="9" t="s">
        <v>52</v>
      </c>
      <c r="H117" s="5" t="str">
        <f t="shared" si="3"/>
        <v>15099</v>
      </c>
    </row>
    <row r="118" spans="1:8" hidden="1">
      <c r="A118" s="1">
        <v>19981</v>
      </c>
      <c r="B118" s="2">
        <v>496941.29966900003</v>
      </c>
      <c r="C118" s="3">
        <v>10754888.582699999</v>
      </c>
      <c r="D118">
        <f t="shared" si="2"/>
        <v>4.6206085339495322E-2</v>
      </c>
      <c r="E118" s="5">
        <v>38545</v>
      </c>
      <c r="F118" s="9" t="s">
        <v>13</v>
      </c>
      <c r="G118" s="9" t="s">
        <v>52</v>
      </c>
      <c r="H118" s="5" t="str">
        <f t="shared" si="3"/>
        <v>15099</v>
      </c>
    </row>
    <row r="119" spans="1:8" hidden="1">
      <c r="A119" s="1">
        <v>19981</v>
      </c>
      <c r="B119" s="2">
        <v>842803.79453800002</v>
      </c>
      <c r="C119" s="3">
        <v>10754888.582699999</v>
      </c>
      <c r="D119">
        <f t="shared" si="2"/>
        <v>7.8364716478207849E-2</v>
      </c>
      <c r="E119" s="5">
        <v>38591</v>
      </c>
      <c r="F119" s="9" t="s">
        <v>13</v>
      </c>
      <c r="G119" s="9" t="s">
        <v>52</v>
      </c>
      <c r="H119" s="5" t="str">
        <f t="shared" si="3"/>
        <v>15099</v>
      </c>
    </row>
    <row r="120" spans="1:8" hidden="1">
      <c r="A120" s="1">
        <v>19981</v>
      </c>
      <c r="B120" s="2">
        <v>776898.92455600004</v>
      </c>
      <c r="C120" s="3">
        <v>10754888.582699999</v>
      </c>
      <c r="D120">
        <f t="shared" si="2"/>
        <v>7.2236817572029252E-2</v>
      </c>
      <c r="E120" s="5">
        <v>38690</v>
      </c>
      <c r="F120" s="9" t="s">
        <v>13</v>
      </c>
      <c r="G120" s="9" t="s">
        <v>52</v>
      </c>
      <c r="H120" s="5" t="str">
        <f t="shared" si="3"/>
        <v>15099</v>
      </c>
    </row>
    <row r="121" spans="1:8" hidden="1">
      <c r="A121" s="1">
        <v>19982</v>
      </c>
      <c r="B121" s="2">
        <v>3358516.5886200001</v>
      </c>
      <c r="C121" s="3">
        <v>16208654.4267</v>
      </c>
      <c r="D121">
        <f t="shared" si="2"/>
        <v>0.20720514486925101</v>
      </c>
      <c r="E121" s="5">
        <v>38955</v>
      </c>
      <c r="F121" s="9" t="s">
        <v>13</v>
      </c>
      <c r="G121" s="9" t="s">
        <v>43</v>
      </c>
      <c r="H121" s="5" t="str">
        <f t="shared" si="3"/>
        <v>15039</v>
      </c>
    </row>
    <row r="122" spans="1:8" hidden="1">
      <c r="A122" s="1">
        <v>19982</v>
      </c>
      <c r="B122" s="2">
        <v>343523.66032299999</v>
      </c>
      <c r="C122" s="3">
        <v>10754888.582699999</v>
      </c>
      <c r="D122">
        <f t="shared" si="2"/>
        <v>3.1941164028010678E-2</v>
      </c>
      <c r="E122" s="5">
        <v>38299</v>
      </c>
      <c r="F122" s="9" t="s">
        <v>13</v>
      </c>
      <c r="G122" s="9" t="s">
        <v>52</v>
      </c>
      <c r="H122" s="5" t="str">
        <f t="shared" si="3"/>
        <v>15099</v>
      </c>
    </row>
    <row r="123" spans="1:8" hidden="1">
      <c r="A123" s="1">
        <v>19982</v>
      </c>
      <c r="B123" s="2">
        <v>439010.55416399997</v>
      </c>
      <c r="C123" s="3">
        <v>10754888.582699999</v>
      </c>
      <c r="D123">
        <f t="shared" si="2"/>
        <v>4.0819628282358925E-2</v>
      </c>
      <c r="E123" s="5">
        <v>38690</v>
      </c>
      <c r="F123" s="9" t="s">
        <v>13</v>
      </c>
      <c r="G123" s="9" t="s">
        <v>52</v>
      </c>
      <c r="H123" s="5" t="str">
        <f t="shared" si="3"/>
        <v>15099</v>
      </c>
    </row>
    <row r="124" spans="1:8" hidden="1">
      <c r="A124" s="1">
        <v>20302</v>
      </c>
      <c r="B124" s="2">
        <v>1399289.09238</v>
      </c>
      <c r="C124" s="3">
        <v>8798723.5331800003</v>
      </c>
      <c r="D124">
        <f t="shared" si="2"/>
        <v>0.15903319238333591</v>
      </c>
      <c r="E124" s="5">
        <v>37861</v>
      </c>
      <c r="F124" s="9" t="s">
        <v>16</v>
      </c>
      <c r="G124" s="9" t="s">
        <v>53</v>
      </c>
      <c r="H124" s="5" t="str">
        <f t="shared" si="3"/>
        <v>16066</v>
      </c>
    </row>
    <row r="125" spans="1:8" hidden="1">
      <c r="A125" s="1">
        <v>20302</v>
      </c>
      <c r="B125" s="2">
        <v>5510550.6423800001</v>
      </c>
      <c r="C125" s="3">
        <v>8798723.5331800003</v>
      </c>
      <c r="D125">
        <f t="shared" si="2"/>
        <v>0.62628978187571238</v>
      </c>
      <c r="E125" s="5">
        <v>38007</v>
      </c>
      <c r="F125" s="9" t="s">
        <v>16</v>
      </c>
      <c r="G125" s="9" t="s">
        <v>53</v>
      </c>
      <c r="H125" s="5" t="str">
        <f t="shared" si="3"/>
        <v>16066</v>
      </c>
    </row>
    <row r="126" spans="1:8" hidden="1">
      <c r="A126" s="1">
        <v>20303</v>
      </c>
      <c r="B126" s="2">
        <v>1427457.9601799999</v>
      </c>
      <c r="C126" s="3">
        <v>8798723.5331800003</v>
      </c>
      <c r="D126">
        <f t="shared" si="2"/>
        <v>0.16223466447116491</v>
      </c>
      <c r="E126" s="5">
        <v>37891</v>
      </c>
      <c r="F126" s="9" t="s">
        <v>16</v>
      </c>
      <c r="G126" s="9" t="s">
        <v>53</v>
      </c>
      <c r="H126" s="5" t="str">
        <f t="shared" si="3"/>
        <v>16066</v>
      </c>
    </row>
    <row r="127" spans="1:8" hidden="1">
      <c r="A127" s="1">
        <v>20303</v>
      </c>
      <c r="B127" s="2">
        <v>254589.53063200001</v>
      </c>
      <c r="C127" s="3">
        <v>8798723.5331800003</v>
      </c>
      <c r="D127">
        <f t="shared" si="2"/>
        <v>2.8934825565542829E-2</v>
      </c>
      <c r="E127" s="5">
        <v>37921</v>
      </c>
      <c r="F127" s="9" t="s">
        <v>16</v>
      </c>
      <c r="G127" s="9" t="s">
        <v>53</v>
      </c>
      <c r="H127" s="5" t="str">
        <f t="shared" si="3"/>
        <v>16066</v>
      </c>
    </row>
    <row r="128" spans="1:8" hidden="1">
      <c r="A128" s="1">
        <v>20303</v>
      </c>
      <c r="B128" s="2">
        <v>206836.307608</v>
      </c>
      <c r="C128" s="3">
        <v>8798723.5331800003</v>
      </c>
      <c r="D128">
        <f t="shared" si="2"/>
        <v>2.3507535704243913E-2</v>
      </c>
      <c r="E128" s="5">
        <v>38082</v>
      </c>
      <c r="F128" s="9" t="s">
        <v>16</v>
      </c>
      <c r="G128" s="9" t="s">
        <v>53</v>
      </c>
      <c r="H128" s="5" t="str">
        <f t="shared" si="3"/>
        <v>16066</v>
      </c>
    </row>
    <row r="129" spans="1:8" hidden="1">
      <c r="A129" s="1">
        <v>20330</v>
      </c>
      <c r="B129" s="2">
        <v>318707.76813600003</v>
      </c>
      <c r="C129" s="3">
        <v>318707.76813600003</v>
      </c>
      <c r="D129">
        <f t="shared" si="2"/>
        <v>1</v>
      </c>
      <c r="E129" s="5">
        <v>38249</v>
      </c>
      <c r="F129" s="9" t="s">
        <v>14</v>
      </c>
      <c r="G129" s="9" t="s">
        <v>54</v>
      </c>
      <c r="H129" s="5" t="str">
        <f t="shared" si="3"/>
        <v>09002</v>
      </c>
    </row>
    <row r="130" spans="1:8" hidden="1">
      <c r="A130" s="1">
        <v>20330</v>
      </c>
      <c r="B130" s="2">
        <v>275473.72373000003</v>
      </c>
      <c r="C130" s="3">
        <v>6841579.3668499999</v>
      </c>
      <c r="D130">
        <f t="shared" si="2"/>
        <v>4.0264639048809815E-2</v>
      </c>
      <c r="E130" s="5">
        <v>38416</v>
      </c>
      <c r="F130" s="9" t="s">
        <v>14</v>
      </c>
      <c r="G130" s="9" t="s">
        <v>48</v>
      </c>
      <c r="H130" s="5" t="str">
        <f t="shared" si="3"/>
        <v>09016</v>
      </c>
    </row>
    <row r="131" spans="1:8" hidden="1">
      <c r="A131" s="1">
        <v>20331</v>
      </c>
      <c r="B131" s="2">
        <v>2854000.9164100001</v>
      </c>
      <c r="C131" s="3">
        <v>5263168.6925799996</v>
      </c>
      <c r="D131">
        <f t="shared" ref="D131:D194" si="4">B131/C131</f>
        <v>0.54225906162452342</v>
      </c>
      <c r="E131" s="5">
        <v>38026</v>
      </c>
      <c r="F131" s="9" t="s">
        <v>14</v>
      </c>
      <c r="G131" s="9" t="s">
        <v>49</v>
      </c>
      <c r="H131" s="5" t="str">
        <f t="shared" ref="H131:H194" si="5">F131&amp;G131</f>
        <v>09005</v>
      </c>
    </row>
    <row r="132" spans="1:8" hidden="1">
      <c r="A132" s="1">
        <v>20331</v>
      </c>
      <c r="B132" s="2">
        <v>988633.01341100002</v>
      </c>
      <c r="C132" s="3">
        <v>5263168.6925799996</v>
      </c>
      <c r="D132">
        <f t="shared" si="4"/>
        <v>0.18783988717761832</v>
      </c>
      <c r="E132" s="5">
        <v>38404</v>
      </c>
      <c r="F132" s="9" t="s">
        <v>14</v>
      </c>
      <c r="G132" s="9" t="s">
        <v>49</v>
      </c>
      <c r="H132" s="5" t="str">
        <f t="shared" si="5"/>
        <v>09005</v>
      </c>
    </row>
    <row r="133" spans="1:8" hidden="1">
      <c r="A133" s="1">
        <v>20331</v>
      </c>
      <c r="B133" s="2">
        <v>397032.448164</v>
      </c>
      <c r="C133" s="3">
        <v>397032.448164</v>
      </c>
      <c r="D133">
        <f t="shared" si="4"/>
        <v>1</v>
      </c>
      <c r="E133" s="5">
        <v>38026</v>
      </c>
      <c r="F133" s="9" t="s">
        <v>13</v>
      </c>
      <c r="G133" s="9" t="s">
        <v>55</v>
      </c>
      <c r="H133" s="5" t="str">
        <f t="shared" si="5"/>
        <v>15104</v>
      </c>
    </row>
    <row r="134" spans="1:8" hidden="1">
      <c r="A134" s="1">
        <v>20332</v>
      </c>
      <c r="B134" s="2">
        <v>646193.17572000006</v>
      </c>
      <c r="C134" s="3">
        <v>5263168.6925799996</v>
      </c>
      <c r="D134">
        <f t="shared" si="4"/>
        <v>0.12277645149983533</v>
      </c>
      <c r="E134" s="5">
        <v>38404</v>
      </c>
      <c r="F134" s="9" t="s">
        <v>14</v>
      </c>
      <c r="G134" s="9" t="s">
        <v>49</v>
      </c>
      <c r="H134" s="5" t="str">
        <f t="shared" si="5"/>
        <v>09005</v>
      </c>
    </row>
    <row r="135" spans="1:8" hidden="1">
      <c r="A135" s="1">
        <v>20332</v>
      </c>
      <c r="B135" s="2">
        <v>8065.3523672900001</v>
      </c>
      <c r="C135" s="3">
        <v>8633.8594791199994</v>
      </c>
      <c r="D135">
        <f t="shared" si="4"/>
        <v>0.93415376828811392</v>
      </c>
      <c r="E135" s="5">
        <v>38404</v>
      </c>
      <c r="F135" s="9" t="s">
        <v>13</v>
      </c>
      <c r="G135" s="9" t="s">
        <v>50</v>
      </c>
      <c r="H135" s="5" t="str">
        <f t="shared" si="5"/>
        <v>15058</v>
      </c>
    </row>
    <row r="136" spans="1:8" hidden="1">
      <c r="A136" s="1">
        <v>20334</v>
      </c>
      <c r="B136" s="2">
        <v>2996283.0540499999</v>
      </c>
      <c r="C136" s="3">
        <v>10754888.582699999</v>
      </c>
      <c r="D136">
        <f t="shared" si="4"/>
        <v>0.27859731237659996</v>
      </c>
      <c r="E136" s="5">
        <v>38299</v>
      </c>
      <c r="F136" s="9" t="s">
        <v>13</v>
      </c>
      <c r="G136" s="9" t="s">
        <v>52</v>
      </c>
      <c r="H136" s="5" t="str">
        <f t="shared" si="5"/>
        <v>15099</v>
      </c>
    </row>
    <row r="137" spans="1:8" hidden="1">
      <c r="A137" s="1">
        <v>20334</v>
      </c>
      <c r="B137" s="2">
        <v>611761.11523</v>
      </c>
      <c r="C137" s="3">
        <v>10754888.582699999</v>
      </c>
      <c r="D137">
        <f t="shared" si="4"/>
        <v>5.6882143457446979E-2</v>
      </c>
      <c r="E137" s="5">
        <v>38329</v>
      </c>
      <c r="F137" s="9" t="s">
        <v>13</v>
      </c>
      <c r="G137" s="9" t="s">
        <v>52</v>
      </c>
      <c r="H137" s="5" t="str">
        <f t="shared" si="5"/>
        <v>15099</v>
      </c>
    </row>
    <row r="138" spans="1:8" hidden="1">
      <c r="A138" s="1">
        <v>20335</v>
      </c>
      <c r="B138" s="2">
        <v>699793.82104299997</v>
      </c>
      <c r="C138" s="3">
        <v>10754888.582699999</v>
      </c>
      <c r="D138">
        <f t="shared" si="4"/>
        <v>6.5067510059441058E-2</v>
      </c>
      <c r="E138" s="5">
        <v>38299</v>
      </c>
      <c r="F138" s="9" t="s">
        <v>13</v>
      </c>
      <c r="G138" s="9" t="s">
        <v>52</v>
      </c>
      <c r="H138" s="5" t="str">
        <f t="shared" si="5"/>
        <v>15099</v>
      </c>
    </row>
    <row r="139" spans="1:8" hidden="1">
      <c r="A139" s="1">
        <v>20655</v>
      </c>
      <c r="B139" s="2">
        <v>2845223.7736</v>
      </c>
      <c r="C139" s="3">
        <v>2846377.9249200001</v>
      </c>
      <c r="D139">
        <f t="shared" si="4"/>
        <v>0.99959451929770271</v>
      </c>
      <c r="E139" s="5">
        <v>37576</v>
      </c>
      <c r="F139" s="9" t="s">
        <v>16</v>
      </c>
      <c r="G139" s="9" t="s">
        <v>56</v>
      </c>
      <c r="H139" s="5" t="str">
        <f t="shared" si="5"/>
        <v>16100</v>
      </c>
    </row>
    <row r="140" spans="1:8" hidden="1">
      <c r="A140" s="1">
        <v>20656</v>
      </c>
      <c r="B140" s="2">
        <v>1154.15131307</v>
      </c>
      <c r="C140" s="3">
        <v>2846377.9249200001</v>
      </c>
      <c r="D140">
        <f t="shared" si="4"/>
        <v>4.0548069986259409E-4</v>
      </c>
      <c r="E140" s="5">
        <v>37576</v>
      </c>
      <c r="F140" s="9" t="s">
        <v>16</v>
      </c>
      <c r="G140" s="9" t="s">
        <v>56</v>
      </c>
      <c r="H140" s="5" t="str">
        <f t="shared" si="5"/>
        <v>16100</v>
      </c>
    </row>
    <row r="141" spans="1:8" hidden="1">
      <c r="A141" s="1">
        <v>20659</v>
      </c>
      <c r="B141" s="2">
        <v>13064198.0228</v>
      </c>
      <c r="C141" s="3">
        <v>29996176.544300001</v>
      </c>
      <c r="D141">
        <f t="shared" si="4"/>
        <v>0.43552877492590014</v>
      </c>
      <c r="E141" s="5">
        <v>37313</v>
      </c>
      <c r="F141" s="9" t="s">
        <v>16</v>
      </c>
      <c r="G141" s="9" t="s">
        <v>57</v>
      </c>
      <c r="H141" s="5" t="str">
        <f t="shared" si="5"/>
        <v>16053</v>
      </c>
    </row>
    <row r="142" spans="1:8" hidden="1">
      <c r="A142" s="1">
        <v>20660</v>
      </c>
      <c r="B142" s="2">
        <v>2912213.3244400001</v>
      </c>
      <c r="C142" s="3">
        <v>29996176.544300001</v>
      </c>
      <c r="D142">
        <f t="shared" si="4"/>
        <v>9.7086150967910317E-2</v>
      </c>
      <c r="E142" s="5">
        <v>37313</v>
      </c>
      <c r="F142" s="9" t="s">
        <v>16</v>
      </c>
      <c r="G142" s="9" t="s">
        <v>57</v>
      </c>
      <c r="H142" s="5" t="str">
        <f t="shared" si="5"/>
        <v>16053</v>
      </c>
    </row>
    <row r="143" spans="1:8" hidden="1">
      <c r="A143" s="1">
        <v>20682</v>
      </c>
      <c r="B143" s="2">
        <v>80772.482869400003</v>
      </c>
      <c r="C143" s="3">
        <v>81292.768475999997</v>
      </c>
      <c r="D143">
        <f t="shared" si="4"/>
        <v>0.99359985375878057</v>
      </c>
      <c r="E143" s="5">
        <v>37177</v>
      </c>
      <c r="F143" s="9" t="s">
        <v>13</v>
      </c>
      <c r="G143" s="9" t="s">
        <v>38</v>
      </c>
      <c r="H143" s="5" t="str">
        <f t="shared" si="5"/>
        <v>15013</v>
      </c>
    </row>
    <row r="144" spans="1:8" hidden="1">
      <c r="A144" s="1">
        <v>20682</v>
      </c>
      <c r="B144" s="2">
        <v>13.1095139068</v>
      </c>
      <c r="C144" s="3">
        <v>13.1095139068</v>
      </c>
      <c r="D144">
        <f t="shared" si="4"/>
        <v>1</v>
      </c>
      <c r="E144" s="5">
        <v>37177</v>
      </c>
      <c r="F144" s="9" t="s">
        <v>13</v>
      </c>
      <c r="G144" s="9" t="s">
        <v>58</v>
      </c>
      <c r="H144" s="5" t="str">
        <f t="shared" si="5"/>
        <v>15060</v>
      </c>
    </row>
    <row r="145" spans="1:8" hidden="1">
      <c r="A145" s="1">
        <v>20682</v>
      </c>
      <c r="B145" s="2">
        <v>5253693.9691000003</v>
      </c>
      <c r="C145" s="3">
        <v>9107573.2455000002</v>
      </c>
      <c r="D145">
        <f t="shared" si="4"/>
        <v>0.57684893961141848</v>
      </c>
      <c r="E145" s="5">
        <v>37177</v>
      </c>
      <c r="F145" s="9" t="s">
        <v>13</v>
      </c>
      <c r="G145" s="9" t="s">
        <v>59</v>
      </c>
      <c r="H145" s="5" t="str">
        <f t="shared" si="5"/>
        <v>15121</v>
      </c>
    </row>
    <row r="146" spans="1:8" hidden="1">
      <c r="A146" s="1">
        <v>20683</v>
      </c>
      <c r="B146" s="2">
        <v>520.28510236499994</v>
      </c>
      <c r="C146" s="3">
        <v>81292.768475999997</v>
      </c>
      <c r="D146">
        <f t="shared" si="4"/>
        <v>6.4001400385152746E-3</v>
      </c>
      <c r="E146" s="5">
        <v>37177</v>
      </c>
      <c r="F146" s="9" t="s">
        <v>13</v>
      </c>
      <c r="G146" s="9" t="s">
        <v>38</v>
      </c>
      <c r="H146" s="5" t="str">
        <f t="shared" si="5"/>
        <v>15013</v>
      </c>
    </row>
    <row r="147" spans="1:8" hidden="1">
      <c r="A147" s="1">
        <v>20683</v>
      </c>
      <c r="B147" s="2">
        <v>948185.79113899998</v>
      </c>
      <c r="C147" s="3">
        <v>9107573.2455000002</v>
      </c>
      <c r="D147">
        <f t="shared" si="4"/>
        <v>0.1041095981970272</v>
      </c>
      <c r="E147" s="5">
        <v>37177</v>
      </c>
      <c r="F147" s="9" t="s">
        <v>13</v>
      </c>
      <c r="G147" s="9" t="s">
        <v>59</v>
      </c>
      <c r="H147" s="5" t="str">
        <f t="shared" si="5"/>
        <v>15121</v>
      </c>
    </row>
    <row r="148" spans="1:8" hidden="1">
      <c r="A148" s="1">
        <v>20687</v>
      </c>
      <c r="B148" s="2">
        <v>3283.5208951999998</v>
      </c>
      <c r="C148" s="3">
        <v>50946.134269800001</v>
      </c>
      <c r="D148">
        <f t="shared" si="4"/>
        <v>6.4450835029232337E-2</v>
      </c>
      <c r="E148" s="5">
        <v>37252</v>
      </c>
      <c r="F148" s="9" t="s">
        <v>13</v>
      </c>
      <c r="G148" s="9" t="s">
        <v>31</v>
      </c>
      <c r="H148" s="5" t="str">
        <f t="shared" si="5"/>
        <v>15065</v>
      </c>
    </row>
    <row r="149" spans="1:8" hidden="1">
      <c r="A149" s="1">
        <v>20687</v>
      </c>
      <c r="B149" s="2">
        <v>2672716.71973</v>
      </c>
      <c r="C149" s="3">
        <v>5504021.5301599996</v>
      </c>
      <c r="D149">
        <f t="shared" si="4"/>
        <v>0.48559343474303329</v>
      </c>
      <c r="E149" s="5">
        <v>37252</v>
      </c>
      <c r="F149" s="9" t="s">
        <v>13</v>
      </c>
      <c r="G149" s="9" t="s">
        <v>60</v>
      </c>
      <c r="H149" s="5" t="str">
        <f t="shared" si="5"/>
        <v>15093</v>
      </c>
    </row>
    <row r="150" spans="1:8" hidden="1">
      <c r="A150" s="1">
        <v>20687</v>
      </c>
      <c r="B150" s="2">
        <v>897247.37027900002</v>
      </c>
      <c r="C150" s="3">
        <v>5504021.5301599996</v>
      </c>
      <c r="D150">
        <f t="shared" si="4"/>
        <v>0.16301668977172723</v>
      </c>
      <c r="E150" s="5">
        <v>37561</v>
      </c>
      <c r="F150" s="9" t="s">
        <v>13</v>
      </c>
      <c r="G150" s="9" t="s">
        <v>60</v>
      </c>
      <c r="H150" s="5" t="str">
        <f t="shared" si="5"/>
        <v>15093</v>
      </c>
    </row>
    <row r="151" spans="1:8" hidden="1">
      <c r="A151" s="1">
        <v>20688</v>
      </c>
      <c r="B151" s="2">
        <v>986209.49207100004</v>
      </c>
      <c r="C151" s="3">
        <v>5504021.5301599996</v>
      </c>
      <c r="D151">
        <f t="shared" si="4"/>
        <v>0.17917980274367337</v>
      </c>
      <c r="E151" s="5">
        <v>37469</v>
      </c>
      <c r="F151" s="9" t="s">
        <v>13</v>
      </c>
      <c r="G151" s="9" t="s">
        <v>60</v>
      </c>
      <c r="H151" s="5" t="str">
        <f t="shared" si="5"/>
        <v>15093</v>
      </c>
    </row>
    <row r="152" spans="1:8" hidden="1">
      <c r="A152" s="1">
        <v>20688</v>
      </c>
      <c r="B152" s="2">
        <v>796020.93120400002</v>
      </c>
      <c r="C152" s="3">
        <v>5504021.5301599996</v>
      </c>
      <c r="D152">
        <f t="shared" si="4"/>
        <v>0.14462533019576687</v>
      </c>
      <c r="E152" s="5">
        <v>37561</v>
      </c>
      <c r="F152" s="9" t="s">
        <v>13</v>
      </c>
      <c r="G152" s="9" t="s">
        <v>60</v>
      </c>
      <c r="H152" s="5" t="str">
        <f t="shared" si="5"/>
        <v>15093</v>
      </c>
    </row>
    <row r="153" spans="1:8" hidden="1">
      <c r="A153" s="1">
        <v>20706</v>
      </c>
      <c r="B153" s="2">
        <v>1482269.4619700001</v>
      </c>
      <c r="C153" s="3">
        <v>3650959.5299499999</v>
      </c>
      <c r="D153">
        <f t="shared" si="4"/>
        <v>0.40599449262870901</v>
      </c>
      <c r="E153" s="5">
        <v>37234</v>
      </c>
      <c r="F153" s="9" t="s">
        <v>10</v>
      </c>
      <c r="G153" s="9" t="s">
        <v>61</v>
      </c>
      <c r="H153" s="5" t="str">
        <f t="shared" si="5"/>
        <v>30128</v>
      </c>
    </row>
    <row r="154" spans="1:8" hidden="1">
      <c r="A154" s="1">
        <v>21013</v>
      </c>
      <c r="B154" s="2">
        <v>890629.51633200003</v>
      </c>
      <c r="C154" s="3">
        <v>29996176.544300001</v>
      </c>
      <c r="D154">
        <f t="shared" si="4"/>
        <v>2.9691434673904837E-2</v>
      </c>
      <c r="E154" s="5">
        <v>36716</v>
      </c>
      <c r="F154" s="9" t="s">
        <v>16</v>
      </c>
      <c r="G154" s="9" t="s">
        <v>57</v>
      </c>
      <c r="H154" s="5" t="str">
        <f t="shared" si="5"/>
        <v>16053</v>
      </c>
    </row>
    <row r="155" spans="1:8" hidden="1">
      <c r="A155" s="1">
        <v>21013</v>
      </c>
      <c r="B155" s="2">
        <v>690316.27633699996</v>
      </c>
      <c r="C155" s="3">
        <v>29996176.544300001</v>
      </c>
      <c r="D155">
        <f t="shared" si="4"/>
        <v>2.3013475578045853E-2</v>
      </c>
      <c r="E155" s="5">
        <v>36798</v>
      </c>
      <c r="F155" s="9" t="s">
        <v>16</v>
      </c>
      <c r="G155" s="9" t="s">
        <v>57</v>
      </c>
      <c r="H155" s="5" t="str">
        <f t="shared" si="5"/>
        <v>16053</v>
      </c>
    </row>
    <row r="156" spans="1:8" hidden="1">
      <c r="A156" s="1">
        <v>21013</v>
      </c>
      <c r="B156" s="2">
        <v>927643.978611</v>
      </c>
      <c r="C156" s="3">
        <v>29996176.544300001</v>
      </c>
      <c r="D156">
        <f t="shared" si="4"/>
        <v>3.092540735120039E-2</v>
      </c>
      <c r="E156" s="5">
        <v>36880</v>
      </c>
      <c r="F156" s="9" t="s">
        <v>16</v>
      </c>
      <c r="G156" s="9" t="s">
        <v>57</v>
      </c>
      <c r="H156" s="5" t="str">
        <f t="shared" si="5"/>
        <v>16053</v>
      </c>
    </row>
    <row r="157" spans="1:8" hidden="1">
      <c r="A157" s="1">
        <v>21013</v>
      </c>
      <c r="B157" s="2">
        <v>540462.04437599995</v>
      </c>
      <c r="C157" s="3">
        <v>29996176.544300001</v>
      </c>
      <c r="D157">
        <f t="shared" si="4"/>
        <v>1.8017697808179516E-2</v>
      </c>
      <c r="E157" s="5">
        <v>36983</v>
      </c>
      <c r="F157" s="9" t="s">
        <v>16</v>
      </c>
      <c r="G157" s="9" t="s">
        <v>57</v>
      </c>
      <c r="H157" s="5" t="str">
        <f t="shared" si="5"/>
        <v>16053</v>
      </c>
    </row>
    <row r="158" spans="1:8" hidden="1">
      <c r="A158" s="1">
        <v>21013</v>
      </c>
      <c r="B158" s="2">
        <v>6097423.4555099998</v>
      </c>
      <c r="C158" s="3">
        <v>29996176.544300001</v>
      </c>
      <c r="D158">
        <f t="shared" si="4"/>
        <v>0.20327335540597949</v>
      </c>
      <c r="E158" s="5">
        <v>37070</v>
      </c>
      <c r="F158" s="9" t="s">
        <v>16</v>
      </c>
      <c r="G158" s="9" t="s">
        <v>57</v>
      </c>
      <c r="H158" s="5" t="str">
        <f t="shared" si="5"/>
        <v>16053</v>
      </c>
    </row>
    <row r="159" spans="1:8" hidden="1">
      <c r="A159" s="1">
        <v>21014</v>
      </c>
      <c r="B159" s="2">
        <v>30936.476563699998</v>
      </c>
      <c r="C159" s="3">
        <v>1862339.06158</v>
      </c>
      <c r="D159">
        <f t="shared" si="4"/>
        <v>1.661162416764949E-2</v>
      </c>
      <c r="E159" s="5">
        <v>36625</v>
      </c>
      <c r="F159" s="9" t="s">
        <v>16</v>
      </c>
      <c r="G159" s="9" t="s">
        <v>62</v>
      </c>
      <c r="H159" s="5" t="str">
        <f t="shared" si="5"/>
        <v>16022</v>
      </c>
    </row>
    <row r="160" spans="1:8" hidden="1">
      <c r="A160" s="1">
        <v>21014</v>
      </c>
      <c r="B160" s="2">
        <v>95527.502634999997</v>
      </c>
      <c r="C160" s="3">
        <v>1862339.06158</v>
      </c>
      <c r="D160">
        <f t="shared" si="4"/>
        <v>5.1294366641246786E-2</v>
      </c>
      <c r="E160" s="5">
        <v>36809</v>
      </c>
      <c r="F160" s="9" t="s">
        <v>16</v>
      </c>
      <c r="G160" s="9" t="s">
        <v>62</v>
      </c>
      <c r="H160" s="5" t="str">
        <f t="shared" si="5"/>
        <v>16022</v>
      </c>
    </row>
    <row r="161" spans="1:8" hidden="1">
      <c r="A161" s="1">
        <v>21014</v>
      </c>
      <c r="B161" s="2">
        <v>770320.38207499997</v>
      </c>
      <c r="C161" s="3">
        <v>1862339.06158</v>
      </c>
      <c r="D161">
        <f t="shared" si="4"/>
        <v>0.41363057778612217</v>
      </c>
      <c r="E161" s="5">
        <v>36965</v>
      </c>
      <c r="F161" s="9" t="s">
        <v>16</v>
      </c>
      <c r="G161" s="9" t="s">
        <v>62</v>
      </c>
      <c r="H161" s="5" t="str">
        <f t="shared" si="5"/>
        <v>16022</v>
      </c>
    </row>
    <row r="162" spans="1:8" hidden="1">
      <c r="A162" s="1">
        <v>21014</v>
      </c>
      <c r="B162" s="2">
        <v>235104.55005200001</v>
      </c>
      <c r="C162" s="3">
        <v>29996176.544300001</v>
      </c>
      <c r="D162">
        <f t="shared" si="4"/>
        <v>7.8378172533017567E-3</v>
      </c>
      <c r="E162" s="5">
        <v>36798</v>
      </c>
      <c r="F162" s="9" t="s">
        <v>16</v>
      </c>
      <c r="G162" s="9" t="s">
        <v>57</v>
      </c>
      <c r="H162" s="5" t="str">
        <f t="shared" si="5"/>
        <v>16053</v>
      </c>
    </row>
    <row r="163" spans="1:8" hidden="1">
      <c r="A163" s="1">
        <v>21014</v>
      </c>
      <c r="B163" s="2">
        <v>452674.413092</v>
      </c>
      <c r="C163" s="3">
        <v>29996176.544300001</v>
      </c>
      <c r="D163">
        <f t="shared" si="4"/>
        <v>1.5091070437709471E-2</v>
      </c>
      <c r="E163" s="5">
        <v>36809</v>
      </c>
      <c r="F163" s="9" t="s">
        <v>16</v>
      </c>
      <c r="G163" s="9" t="s">
        <v>57</v>
      </c>
      <c r="H163" s="5" t="str">
        <f t="shared" si="5"/>
        <v>16053</v>
      </c>
    </row>
    <row r="164" spans="1:8" hidden="1">
      <c r="A164" s="1">
        <v>21014</v>
      </c>
      <c r="B164" s="2">
        <v>907378.61234700005</v>
      </c>
      <c r="C164" s="3">
        <v>29996176.544300001</v>
      </c>
      <c r="D164">
        <f t="shared" si="4"/>
        <v>3.0249809038393059E-2</v>
      </c>
      <c r="E164" s="5">
        <v>36880</v>
      </c>
      <c r="F164" s="9" t="s">
        <v>16</v>
      </c>
      <c r="G164" s="9" t="s">
        <v>57</v>
      </c>
      <c r="H164" s="5" t="str">
        <f t="shared" si="5"/>
        <v>16053</v>
      </c>
    </row>
    <row r="165" spans="1:8" hidden="1">
      <c r="A165" s="1">
        <v>21014</v>
      </c>
      <c r="B165" s="2">
        <v>2821641.2305100001</v>
      </c>
      <c r="C165" s="3">
        <v>29996176.544300001</v>
      </c>
      <c r="D165">
        <f t="shared" si="4"/>
        <v>9.4066696345210712E-2</v>
      </c>
      <c r="E165" s="5">
        <v>36965</v>
      </c>
      <c r="F165" s="9" t="s">
        <v>16</v>
      </c>
      <c r="G165" s="9" t="s">
        <v>57</v>
      </c>
      <c r="H165" s="5" t="str">
        <f t="shared" si="5"/>
        <v>16053</v>
      </c>
    </row>
    <row r="166" spans="1:8" hidden="1">
      <c r="A166" s="1">
        <v>21014</v>
      </c>
      <c r="B166" s="2">
        <v>456491.11984599999</v>
      </c>
      <c r="C166" s="3">
        <v>29996176.544300001</v>
      </c>
      <c r="D166">
        <f t="shared" si="4"/>
        <v>1.5218310212697568E-2</v>
      </c>
      <c r="E166" s="5">
        <v>37070</v>
      </c>
      <c r="F166" s="9" t="s">
        <v>16</v>
      </c>
      <c r="G166" s="9" t="s">
        <v>57</v>
      </c>
      <c r="H166" s="5" t="str">
        <f t="shared" si="5"/>
        <v>16053</v>
      </c>
    </row>
    <row r="167" spans="1:8" hidden="1">
      <c r="A167" s="1">
        <v>21021</v>
      </c>
      <c r="B167" s="2">
        <v>1136624.7361399999</v>
      </c>
      <c r="C167" s="3">
        <v>1136624.7361399999</v>
      </c>
      <c r="D167">
        <f t="shared" si="4"/>
        <v>1</v>
      </c>
      <c r="E167" s="5">
        <v>36783</v>
      </c>
      <c r="F167" s="9" t="s">
        <v>16</v>
      </c>
      <c r="G167" s="9" t="s">
        <v>63</v>
      </c>
      <c r="H167" s="5" t="str">
        <f t="shared" si="5"/>
        <v>16041</v>
      </c>
    </row>
    <row r="168" spans="1:8" hidden="1">
      <c r="A168" s="1">
        <v>21035</v>
      </c>
      <c r="B168" s="2">
        <v>2632317.3790500001</v>
      </c>
      <c r="C168" s="3">
        <v>9107573.2455000002</v>
      </c>
      <c r="D168">
        <f t="shared" si="4"/>
        <v>0.28902511218898108</v>
      </c>
      <c r="E168" s="5">
        <v>37177</v>
      </c>
      <c r="F168" s="9" t="s">
        <v>13</v>
      </c>
      <c r="G168" s="9" t="s">
        <v>59</v>
      </c>
      <c r="H168" s="5" t="str">
        <f t="shared" si="5"/>
        <v>15121</v>
      </c>
    </row>
    <row r="169" spans="1:8" hidden="1">
      <c r="A169" s="1">
        <v>21036</v>
      </c>
      <c r="B169" s="2">
        <v>273376.10671199998</v>
      </c>
      <c r="C169" s="3">
        <v>9107573.2455000002</v>
      </c>
      <c r="D169">
        <f t="shared" si="4"/>
        <v>3.0016350057582412E-2</v>
      </c>
      <c r="E169" s="5">
        <v>37177</v>
      </c>
      <c r="F169" s="9" t="s">
        <v>13</v>
      </c>
      <c r="G169" s="9" t="s">
        <v>59</v>
      </c>
      <c r="H169" s="5" t="str">
        <f t="shared" si="5"/>
        <v>15121</v>
      </c>
    </row>
    <row r="170" spans="1:8" hidden="1">
      <c r="A170" s="1">
        <v>21040</v>
      </c>
      <c r="B170" s="2">
        <v>47662.614044599999</v>
      </c>
      <c r="C170" s="3">
        <v>50946.134269800001</v>
      </c>
      <c r="D170">
        <f t="shared" si="4"/>
        <v>0.93554917812191263</v>
      </c>
      <c r="E170" s="5">
        <v>37252</v>
      </c>
      <c r="F170" s="9" t="s">
        <v>13</v>
      </c>
      <c r="G170" s="9" t="s">
        <v>31</v>
      </c>
      <c r="H170" s="5" t="str">
        <f t="shared" si="5"/>
        <v>15065</v>
      </c>
    </row>
    <row r="171" spans="1:8" hidden="1">
      <c r="A171" s="1">
        <v>21040</v>
      </c>
      <c r="B171" s="2">
        <v>201372.38404599999</v>
      </c>
      <c r="C171" s="3">
        <v>201372.38404599999</v>
      </c>
      <c r="D171">
        <f t="shared" si="4"/>
        <v>1</v>
      </c>
      <c r="E171" s="5">
        <v>37252</v>
      </c>
      <c r="F171" s="9" t="s">
        <v>13</v>
      </c>
      <c r="G171" s="9" t="s">
        <v>64</v>
      </c>
      <c r="H171" s="5" t="str">
        <f t="shared" si="5"/>
        <v>15075</v>
      </c>
    </row>
    <row r="172" spans="1:8" hidden="1">
      <c r="A172" s="1">
        <v>21040</v>
      </c>
      <c r="B172" s="2">
        <v>151827.01621100001</v>
      </c>
      <c r="C172" s="3">
        <v>5504021.5301599996</v>
      </c>
      <c r="D172">
        <f t="shared" si="4"/>
        <v>2.7584742424978572E-2</v>
      </c>
      <c r="E172" s="5">
        <v>37252</v>
      </c>
      <c r="F172" s="9" t="s">
        <v>13</v>
      </c>
      <c r="G172" s="9" t="s">
        <v>60</v>
      </c>
      <c r="H172" s="5" t="str">
        <f t="shared" si="5"/>
        <v>15093</v>
      </c>
    </row>
    <row r="173" spans="1:8" hidden="1">
      <c r="A173" s="1">
        <v>21059</v>
      </c>
      <c r="B173" s="2">
        <v>2168690.0679899999</v>
      </c>
      <c r="C173" s="3">
        <v>3650959.5299499999</v>
      </c>
      <c r="D173">
        <f t="shared" si="4"/>
        <v>0.59400550737403002</v>
      </c>
      <c r="E173" s="5">
        <v>37234</v>
      </c>
      <c r="F173" s="9" t="s">
        <v>10</v>
      </c>
      <c r="G173" s="9" t="s">
        <v>61</v>
      </c>
      <c r="H173" s="5" t="str">
        <f t="shared" si="5"/>
        <v>30128</v>
      </c>
    </row>
    <row r="174" spans="1:8" hidden="1">
      <c r="A174" s="1">
        <v>21367</v>
      </c>
      <c r="B174" s="2">
        <v>965554.70030899998</v>
      </c>
      <c r="C174" s="3">
        <v>1862339.06158</v>
      </c>
      <c r="D174">
        <f t="shared" si="4"/>
        <v>0.51846343140643136</v>
      </c>
      <c r="E174" s="5">
        <v>36625</v>
      </c>
      <c r="F174" s="9" t="s">
        <v>16</v>
      </c>
      <c r="G174" s="9" t="s">
        <v>62</v>
      </c>
      <c r="H174" s="5" t="str">
        <f t="shared" si="5"/>
        <v>16022</v>
      </c>
    </row>
    <row r="175" spans="1:8" hidden="1">
      <c r="A175" s="1">
        <v>21394</v>
      </c>
      <c r="B175" s="2">
        <v>89391.292447900007</v>
      </c>
      <c r="C175" s="3">
        <v>719043.69374000002</v>
      </c>
      <c r="D175">
        <f t="shared" si="4"/>
        <v>0.12431969465296934</v>
      </c>
      <c r="E175" s="5">
        <v>36433</v>
      </c>
      <c r="F175" s="9" t="s">
        <v>13</v>
      </c>
      <c r="G175" s="9" t="s">
        <v>48</v>
      </c>
      <c r="H175" s="5" t="str">
        <f t="shared" si="5"/>
        <v>15016</v>
      </c>
    </row>
    <row r="176" spans="1:8" hidden="1">
      <c r="A176" s="1">
        <v>21395</v>
      </c>
      <c r="B176" s="2">
        <v>395672.03447399999</v>
      </c>
      <c r="C176" s="3">
        <v>719043.69374000002</v>
      </c>
      <c r="D176">
        <f t="shared" si="4"/>
        <v>0.55027536979841951</v>
      </c>
      <c r="E176" s="5">
        <v>36433</v>
      </c>
      <c r="F176" s="9" t="s">
        <v>13</v>
      </c>
      <c r="G176" s="9" t="s">
        <v>48</v>
      </c>
      <c r="H176" s="5" t="str">
        <f t="shared" si="5"/>
        <v>15016</v>
      </c>
    </row>
    <row r="177" spans="1:8" hidden="1">
      <c r="A177" s="1">
        <v>21395</v>
      </c>
      <c r="B177" s="2">
        <v>233980.36681800001</v>
      </c>
      <c r="C177" s="3">
        <v>719043.69374000002</v>
      </c>
      <c r="D177">
        <f t="shared" si="4"/>
        <v>0.32540493554847211</v>
      </c>
      <c r="E177" s="5">
        <v>36449</v>
      </c>
      <c r="F177" s="9" t="s">
        <v>13</v>
      </c>
      <c r="G177" s="9" t="s">
        <v>48</v>
      </c>
      <c r="H177" s="5" t="str">
        <f t="shared" si="5"/>
        <v>15016</v>
      </c>
    </row>
    <row r="178" spans="1:8" hidden="1">
      <c r="A178" s="1">
        <v>21708</v>
      </c>
      <c r="B178" s="2">
        <v>6597781.7068999996</v>
      </c>
      <c r="C178" s="3">
        <v>6597781.7068999996</v>
      </c>
      <c r="D178">
        <f t="shared" si="4"/>
        <v>1</v>
      </c>
      <c r="E178" s="5">
        <v>35641</v>
      </c>
      <c r="F178" s="9" t="s">
        <v>16</v>
      </c>
      <c r="G178" s="9" t="s">
        <v>40</v>
      </c>
      <c r="H178" s="5" t="str">
        <f t="shared" si="5"/>
        <v>16025</v>
      </c>
    </row>
    <row r="179" spans="1:8">
      <c r="A179" s="1">
        <v>22549</v>
      </c>
      <c r="B179" s="2">
        <v>2707313.1882799999</v>
      </c>
      <c r="C179" s="3">
        <v>8638099.3330499995</v>
      </c>
      <c r="D179">
        <f t="shared" si="4"/>
        <v>0.31341538038600941</v>
      </c>
      <c r="E179" s="5">
        <v>34319</v>
      </c>
      <c r="F179" s="9" t="s">
        <v>11</v>
      </c>
      <c r="G179" s="9" t="s">
        <v>54</v>
      </c>
      <c r="H179" s="5" t="str">
        <f t="shared" si="5"/>
        <v>04002</v>
      </c>
    </row>
    <row r="180" spans="1:8" hidden="1">
      <c r="A180" s="1">
        <v>22549</v>
      </c>
      <c r="B180" s="2">
        <v>373130.11770100001</v>
      </c>
      <c r="C180" s="3">
        <v>454409.89807200001</v>
      </c>
      <c r="D180">
        <f t="shared" si="4"/>
        <v>0.82113114015372646</v>
      </c>
      <c r="E180" s="5">
        <v>34319</v>
      </c>
      <c r="F180" s="9" t="s">
        <v>11</v>
      </c>
      <c r="G180" s="9" t="s">
        <v>41</v>
      </c>
      <c r="H180" s="5" t="str">
        <f t="shared" si="5"/>
        <v>04004</v>
      </c>
    </row>
    <row r="181" spans="1:8">
      <c r="A181" s="1">
        <v>22554</v>
      </c>
      <c r="B181" s="2">
        <v>2921928.4539299998</v>
      </c>
      <c r="C181" s="3">
        <v>8638099.3330499995</v>
      </c>
      <c r="D181">
        <f t="shared" si="4"/>
        <v>0.33826057576699631</v>
      </c>
      <c r="E181" s="5">
        <v>34340</v>
      </c>
      <c r="F181" s="9" t="s">
        <v>11</v>
      </c>
      <c r="G181" s="9" t="s">
        <v>54</v>
      </c>
      <c r="H181" s="5" t="str">
        <f t="shared" si="5"/>
        <v>04002</v>
      </c>
    </row>
    <row r="182" spans="1:8">
      <c r="A182" s="1">
        <v>22554</v>
      </c>
      <c r="B182" s="2">
        <v>934508.82713500003</v>
      </c>
      <c r="C182" s="3">
        <v>8638099.3330499995</v>
      </c>
      <c r="D182">
        <f t="shared" si="4"/>
        <v>0.10818454281481818</v>
      </c>
      <c r="E182" s="5">
        <v>34387</v>
      </c>
      <c r="F182" s="9" t="s">
        <v>11</v>
      </c>
      <c r="G182" s="9" t="s">
        <v>54</v>
      </c>
      <c r="H182" s="5" t="str">
        <f t="shared" si="5"/>
        <v>04002</v>
      </c>
    </row>
    <row r="183" spans="1:8">
      <c r="A183" s="1">
        <v>22555</v>
      </c>
      <c r="B183" s="2">
        <v>897762.15011100005</v>
      </c>
      <c r="C183" s="3">
        <v>8638099.3330499995</v>
      </c>
      <c r="D183">
        <f t="shared" si="4"/>
        <v>0.10393051937665228</v>
      </c>
      <c r="E183" s="5">
        <v>34387</v>
      </c>
      <c r="F183" s="9" t="s">
        <v>11</v>
      </c>
      <c r="G183" s="9" t="s">
        <v>54</v>
      </c>
      <c r="H183" s="5" t="str">
        <f t="shared" si="5"/>
        <v>04002</v>
      </c>
    </row>
    <row r="184" spans="1:8">
      <c r="A184" s="1">
        <v>22555</v>
      </c>
      <c r="B184" s="2">
        <v>1176586.7135900001</v>
      </c>
      <c r="C184" s="3">
        <v>8638099.3330499995</v>
      </c>
      <c r="D184">
        <f t="shared" si="4"/>
        <v>0.13620898165506076</v>
      </c>
      <c r="E184" s="5">
        <v>34429</v>
      </c>
      <c r="F184" s="9" t="s">
        <v>11</v>
      </c>
      <c r="G184" s="9" t="s">
        <v>54</v>
      </c>
      <c r="H184" s="5" t="str">
        <f t="shared" si="5"/>
        <v>04002</v>
      </c>
    </row>
    <row r="185" spans="1:8" hidden="1">
      <c r="A185" s="1">
        <v>22555</v>
      </c>
      <c r="B185" s="2">
        <v>552613.79133000004</v>
      </c>
      <c r="C185" s="3">
        <v>552613.79133000004</v>
      </c>
      <c r="D185">
        <f t="shared" si="4"/>
        <v>1</v>
      </c>
      <c r="E185" s="5">
        <v>34429</v>
      </c>
      <c r="F185" s="9" t="s">
        <v>11</v>
      </c>
      <c r="G185" s="9" t="s">
        <v>65</v>
      </c>
      <c r="H185" s="5" t="str">
        <f t="shared" si="5"/>
        <v>04006</v>
      </c>
    </row>
    <row r="186" spans="1:8" hidden="1">
      <c r="A186" s="1">
        <v>22902</v>
      </c>
      <c r="B186" s="2">
        <v>81279.780370299995</v>
      </c>
      <c r="C186" s="3">
        <v>454409.89807200001</v>
      </c>
      <c r="D186">
        <f t="shared" si="4"/>
        <v>0.17886885984473302</v>
      </c>
      <c r="E186" s="5">
        <v>34319</v>
      </c>
      <c r="F186" s="9" t="s">
        <v>11</v>
      </c>
      <c r="G186" s="9" t="s">
        <v>41</v>
      </c>
      <c r="H186" s="5" t="str">
        <f t="shared" si="5"/>
        <v>04004</v>
      </c>
    </row>
    <row r="187" spans="1:8" hidden="1">
      <c r="A187" s="1">
        <v>23114</v>
      </c>
      <c r="B187" s="2">
        <v>970923.40807</v>
      </c>
      <c r="C187" s="3">
        <v>2379013.95744</v>
      </c>
      <c r="D187">
        <f t="shared" si="4"/>
        <v>0.4081200974183386</v>
      </c>
      <c r="E187" s="5">
        <v>33071</v>
      </c>
      <c r="F187" s="9" t="s">
        <v>16</v>
      </c>
      <c r="G187" s="9" t="s">
        <v>39</v>
      </c>
      <c r="H187" s="5" t="str">
        <f t="shared" si="5"/>
        <v>16011</v>
      </c>
    </row>
    <row r="188" spans="1:8" hidden="1">
      <c r="A188" s="1">
        <v>23114</v>
      </c>
      <c r="B188" s="2">
        <v>96832.091590900003</v>
      </c>
      <c r="C188" s="3">
        <v>96832.091590900003</v>
      </c>
      <c r="D188">
        <f t="shared" si="4"/>
        <v>1</v>
      </c>
      <c r="E188" s="5">
        <v>33071</v>
      </c>
      <c r="F188" s="9" t="s">
        <v>16</v>
      </c>
      <c r="G188" s="9" t="s">
        <v>66</v>
      </c>
      <c r="H188" s="5" t="str">
        <f t="shared" si="5"/>
        <v>16103</v>
      </c>
    </row>
    <row r="189" spans="1:8" hidden="1">
      <c r="A189" s="1">
        <v>23162</v>
      </c>
      <c r="B189" s="2">
        <v>831610.054886</v>
      </c>
      <c r="C189" s="3">
        <v>831610.054886</v>
      </c>
      <c r="D189">
        <f t="shared" si="4"/>
        <v>1</v>
      </c>
      <c r="E189" s="5">
        <v>33622</v>
      </c>
      <c r="F189" s="9" t="s">
        <v>17</v>
      </c>
      <c r="G189" s="9" t="s">
        <v>32</v>
      </c>
      <c r="H189" s="5" t="str">
        <f t="shared" si="5"/>
        <v>13001</v>
      </c>
    </row>
    <row r="190" spans="1:8" hidden="1">
      <c r="A190" s="1">
        <v>23164</v>
      </c>
      <c r="B190" s="2">
        <v>512632.25748700002</v>
      </c>
      <c r="C190" s="3">
        <v>512632.25748700002</v>
      </c>
      <c r="D190">
        <f t="shared" si="4"/>
        <v>1</v>
      </c>
      <c r="E190" s="5">
        <v>33672</v>
      </c>
      <c r="F190" s="9" t="s">
        <v>17</v>
      </c>
      <c r="G190" s="9" t="s">
        <v>67</v>
      </c>
      <c r="H190" s="5" t="str">
        <f t="shared" si="5"/>
        <v>13077</v>
      </c>
    </row>
    <row r="191" spans="1:8" hidden="1">
      <c r="A191" s="1">
        <v>23168</v>
      </c>
      <c r="B191" s="2">
        <v>2900540.6087199999</v>
      </c>
      <c r="C191" s="3">
        <v>5113053.0549900001</v>
      </c>
      <c r="D191">
        <f t="shared" si="4"/>
        <v>0.56728153952739935</v>
      </c>
      <c r="E191" s="5">
        <v>33007</v>
      </c>
      <c r="F191" s="9" t="s">
        <v>12</v>
      </c>
      <c r="G191" s="9" t="s">
        <v>68</v>
      </c>
      <c r="H191" s="5" t="str">
        <f t="shared" si="5"/>
        <v>21183</v>
      </c>
    </row>
    <row r="192" spans="1:8" hidden="1">
      <c r="A192" s="1">
        <v>23467</v>
      </c>
      <c r="B192" s="2">
        <v>595906.31778899999</v>
      </c>
      <c r="C192" s="3">
        <v>2379013.95744</v>
      </c>
      <c r="D192">
        <f t="shared" si="4"/>
        <v>0.25048458245711197</v>
      </c>
      <c r="E192" s="5">
        <v>33071</v>
      </c>
      <c r="F192" s="9" t="s">
        <v>16</v>
      </c>
      <c r="G192" s="9" t="s">
        <v>39</v>
      </c>
      <c r="H192" s="5" t="str">
        <f t="shared" si="5"/>
        <v>16011</v>
      </c>
    </row>
    <row r="193" spans="1:8" hidden="1">
      <c r="A193" s="1">
        <v>23468</v>
      </c>
      <c r="B193" s="2">
        <v>21397.5848281</v>
      </c>
      <c r="C193" s="3">
        <v>21397.5848281</v>
      </c>
      <c r="D193">
        <f t="shared" si="4"/>
        <v>1</v>
      </c>
      <c r="E193" s="5">
        <v>32661</v>
      </c>
      <c r="F193" s="9" t="s">
        <v>18</v>
      </c>
      <c r="G193" s="9" t="s">
        <v>69</v>
      </c>
      <c r="H193" s="5" t="str">
        <f t="shared" si="5"/>
        <v>14018</v>
      </c>
    </row>
    <row r="194" spans="1:8" hidden="1">
      <c r="A194" s="1">
        <v>23468</v>
      </c>
      <c r="B194" s="2">
        <v>812184.23157900001</v>
      </c>
      <c r="C194" s="3">
        <v>2379013.95744</v>
      </c>
      <c r="D194">
        <f t="shared" si="4"/>
        <v>0.34139532012370877</v>
      </c>
      <c r="E194" s="5">
        <v>32661</v>
      </c>
      <c r="F194" s="9" t="s">
        <v>16</v>
      </c>
      <c r="G194" s="9" t="s">
        <v>39</v>
      </c>
      <c r="H194" s="5" t="str">
        <f t="shared" si="5"/>
        <v>16011</v>
      </c>
    </row>
    <row r="195" spans="1:8" hidden="1">
      <c r="A195" s="1">
        <v>23521</v>
      </c>
      <c r="B195" s="2">
        <v>2212512.4462600001</v>
      </c>
      <c r="C195" s="3">
        <v>5113053.0549900001</v>
      </c>
      <c r="D195">
        <f t="shared" ref="D195:D206" si="6">B195/C195</f>
        <v>0.43271846047064483</v>
      </c>
      <c r="E195" s="5">
        <v>33007</v>
      </c>
      <c r="F195" s="9" t="s">
        <v>12</v>
      </c>
      <c r="G195" s="9" t="s">
        <v>68</v>
      </c>
      <c r="H195" s="5" t="str">
        <f t="shared" ref="H195:H206" si="7">F195&amp;G195</f>
        <v>21183</v>
      </c>
    </row>
    <row r="196" spans="1:8" hidden="1">
      <c r="A196" s="1">
        <v>23965</v>
      </c>
      <c r="B196" s="2">
        <v>251259.85520799999</v>
      </c>
      <c r="C196" s="3">
        <v>292709.63257800002</v>
      </c>
      <c r="D196">
        <f t="shared" si="6"/>
        <v>0.85839284821296524</v>
      </c>
      <c r="E196" s="5">
        <v>31923</v>
      </c>
      <c r="F196" s="9" t="s">
        <v>11</v>
      </c>
      <c r="G196" s="9" t="s">
        <v>30</v>
      </c>
      <c r="H196" s="5" t="str">
        <f t="shared" si="7"/>
        <v>04008</v>
      </c>
    </row>
    <row r="197" spans="1:8" hidden="1">
      <c r="A197" s="1">
        <v>24222</v>
      </c>
      <c r="B197" s="2">
        <v>2606743.2913600001</v>
      </c>
      <c r="C197" s="3">
        <v>2606743.2913600001</v>
      </c>
      <c r="D197">
        <f t="shared" si="6"/>
        <v>1</v>
      </c>
      <c r="E197" s="5">
        <v>31512</v>
      </c>
      <c r="F197" s="9" t="s">
        <v>10</v>
      </c>
      <c r="G197" s="9" t="s">
        <v>26</v>
      </c>
      <c r="H197" s="5" t="str">
        <f t="shared" si="7"/>
        <v>30072</v>
      </c>
    </row>
    <row r="198" spans="1:8" hidden="1">
      <c r="A198" s="1">
        <v>24222</v>
      </c>
      <c r="B198" s="2">
        <v>351577.34140799998</v>
      </c>
      <c r="C198" s="3">
        <v>351577.34140799998</v>
      </c>
      <c r="D198">
        <f t="shared" si="6"/>
        <v>1</v>
      </c>
      <c r="E198" s="5">
        <v>31512</v>
      </c>
      <c r="F198" s="9" t="s">
        <v>10</v>
      </c>
      <c r="G198" s="9" t="s">
        <v>70</v>
      </c>
      <c r="H198" s="5" t="str">
        <f t="shared" si="7"/>
        <v>30198</v>
      </c>
    </row>
    <row r="199" spans="1:8" hidden="1">
      <c r="A199" s="1">
        <v>24318</v>
      </c>
      <c r="B199" s="2">
        <v>41449.777369700001</v>
      </c>
      <c r="C199" s="3">
        <v>292709.63257800002</v>
      </c>
      <c r="D199">
        <f t="shared" si="6"/>
        <v>0.14160715178600977</v>
      </c>
      <c r="E199" s="5">
        <v>31923</v>
      </c>
      <c r="F199" s="9" t="s">
        <v>11</v>
      </c>
      <c r="G199" s="9" t="s">
        <v>30</v>
      </c>
      <c r="H199" s="5" t="str">
        <f t="shared" si="7"/>
        <v>04008</v>
      </c>
    </row>
    <row r="200" spans="1:8" hidden="1">
      <c r="A200" s="1">
        <v>25394</v>
      </c>
      <c r="B200" s="2">
        <v>4425311.6152999997</v>
      </c>
      <c r="C200" s="3">
        <v>4425311.6152999997</v>
      </c>
      <c r="D200">
        <f t="shared" si="6"/>
        <v>1</v>
      </c>
      <c r="E200" s="5">
        <v>30093</v>
      </c>
      <c r="F200" s="9" t="s">
        <v>19</v>
      </c>
      <c r="G200" s="9" t="s">
        <v>65</v>
      </c>
      <c r="H200" s="5" t="str">
        <f t="shared" si="7"/>
        <v>23006</v>
      </c>
    </row>
    <row r="201" spans="1:8" hidden="1">
      <c r="A201" s="1">
        <v>26319</v>
      </c>
      <c r="B201" s="2">
        <v>6552057.5183300003</v>
      </c>
      <c r="C201" s="3">
        <v>6552057.5183300003</v>
      </c>
      <c r="D201">
        <f t="shared" si="6"/>
        <v>1</v>
      </c>
      <c r="E201" s="5">
        <v>28963</v>
      </c>
      <c r="F201" s="9" t="s">
        <v>20</v>
      </c>
      <c r="G201" s="9" t="s">
        <v>49</v>
      </c>
      <c r="H201" s="5" t="str">
        <f t="shared" si="7"/>
        <v>22005</v>
      </c>
    </row>
    <row r="202" spans="1:8" hidden="1">
      <c r="A202" s="1">
        <v>26660</v>
      </c>
      <c r="B202" s="2">
        <v>409884.19091800001</v>
      </c>
      <c r="C202" s="3">
        <v>409884.19091800001</v>
      </c>
      <c r="D202">
        <f t="shared" si="6"/>
        <v>1</v>
      </c>
      <c r="E202" s="5">
        <v>28417</v>
      </c>
      <c r="F202" s="9" t="s">
        <v>21</v>
      </c>
      <c r="G202" s="9" t="s">
        <v>36</v>
      </c>
      <c r="H202" s="5" t="str">
        <f t="shared" si="7"/>
        <v>11015</v>
      </c>
    </row>
    <row r="203" spans="1:8" hidden="1">
      <c r="A203" s="1">
        <v>31605</v>
      </c>
      <c r="B203" s="2">
        <v>774770.23686499998</v>
      </c>
      <c r="C203" s="3">
        <v>1348370.8015300001</v>
      </c>
      <c r="D203">
        <f t="shared" si="6"/>
        <v>0.57459731105558354</v>
      </c>
      <c r="E203" s="5">
        <v>22657</v>
      </c>
      <c r="F203" s="9" t="s">
        <v>22</v>
      </c>
      <c r="G203" s="9" t="s">
        <v>71</v>
      </c>
      <c r="H203" s="5" t="str">
        <f t="shared" si="7"/>
        <v>24028</v>
      </c>
    </row>
    <row r="204" spans="1:8" hidden="1">
      <c r="A204" s="1">
        <v>31605</v>
      </c>
      <c r="B204" s="2">
        <v>573600.56466300006</v>
      </c>
      <c r="C204" s="3">
        <v>1348370.8015300001</v>
      </c>
      <c r="D204">
        <f t="shared" si="6"/>
        <v>0.42540268894293315</v>
      </c>
      <c r="E204" s="5">
        <v>22840</v>
      </c>
      <c r="F204" s="9" t="s">
        <v>22</v>
      </c>
      <c r="G204" s="9" t="s">
        <v>71</v>
      </c>
      <c r="H204" s="5" t="str">
        <f t="shared" si="7"/>
        <v>24028</v>
      </c>
    </row>
    <row r="205" spans="1:8" hidden="1">
      <c r="A205" s="1">
        <v>31931</v>
      </c>
      <c r="B205" s="2">
        <v>2056473.0275900001</v>
      </c>
      <c r="C205" s="3">
        <v>2056473.0275900001</v>
      </c>
      <c r="D205">
        <f t="shared" si="6"/>
        <v>1</v>
      </c>
      <c r="E205" s="5">
        <v>22485</v>
      </c>
      <c r="F205" s="9" t="s">
        <v>18</v>
      </c>
      <c r="G205" s="9" t="s">
        <v>40</v>
      </c>
      <c r="H205" s="5" t="str">
        <f t="shared" si="7"/>
        <v>14025</v>
      </c>
    </row>
    <row r="206" spans="1:8" hidden="1">
      <c r="A206" s="1">
        <v>39682</v>
      </c>
      <c r="B206" s="2">
        <v>930584.75608900003</v>
      </c>
      <c r="C206" s="3">
        <v>930584.75608900003</v>
      </c>
      <c r="D206">
        <f t="shared" si="6"/>
        <v>1</v>
      </c>
      <c r="E206" s="5">
        <v>16149</v>
      </c>
      <c r="F206" s="9" t="s">
        <v>23</v>
      </c>
      <c r="G206" s="9" t="s">
        <v>49</v>
      </c>
      <c r="H206" s="5" t="str">
        <f t="shared" si="7"/>
        <v>10005</v>
      </c>
    </row>
  </sheetData>
  <autoFilter ref="A1:H206">
    <filterColumn colId="7">
      <filters>
        <filter val="04002"/>
      </filters>
    </filterColumn>
  </autoFilter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CCA-UNAM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Revisor 1</dc:creator>
  <cp:lastModifiedBy>Revisor 1</cp:lastModifiedBy>
  <dcterms:created xsi:type="dcterms:W3CDTF">2013-07-24T19:16:04Z</dcterms:created>
  <dcterms:modified xsi:type="dcterms:W3CDTF">2013-07-24T19:22:23Z</dcterms:modified>
</cp:coreProperties>
</file>